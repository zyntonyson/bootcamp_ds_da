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36f929849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Originales" sheetId="1" r:id="Rcb0ee16b58984812"/>
    <x:sheet xmlns:r="http://schemas.openxmlformats.org/officeDocument/2006/relationships" name="Datos_Limpios" sheetId="2" r:id="Rbaa371848d484d40"/>
    <x:sheet xmlns:r="http://schemas.openxmlformats.org/officeDocument/2006/relationships" name="Analisis" sheetId="3" r:id="Re144fea762534daa"/>
    <x:sheet xmlns:r="http://schemas.openxmlformats.org/officeDocument/2006/relationships" name="Visualizaciones" sheetId="4" r:id="R29540e93044a4f28"/>
    <x:sheet xmlns:r="http://schemas.openxmlformats.org/officeDocument/2006/relationships" name="Informe_Ejecutivo" sheetId="5" r:id="Rdc4d34394a5c4341"/>
    <x:sheet xmlns:r="http://schemas.openxmlformats.org/officeDocument/2006/relationships" name="Guia_Instructor" sheetId="6" r:id="Rc59278a81297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$#,##0.00"/>
    <x:numFmt numFmtId="203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2"/>
      <x:color rgb="FF1F2933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2F6B9A"/>
      </x:patternFill>
    </x:fill>
    <x:fill>
      <x:patternFill patternType="solid">
        <x:fgColor rgb="FFE9F6F4"/>
      </x:patternFill>
    </x:fill>
    <x:fill>
      <x:patternFill patternType="solid">
        <x:fgColor rgb="FFF3F5F7"/>
      </x:patternFill>
    </x:fill>
    <x:fill>
      <x:patternFill patternType="solid">
        <x:fgColor rgb="FF2A8C87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color rgb="FF256B3A"/>
      </x:font>
      <x:fill>
        <x:patternFill patternType="solid">
          <x:bgColor rgb="FFE4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50a46e0784da1" /><Relationship Type="http://schemas.openxmlformats.org/officeDocument/2006/relationships/theme" Target="/xl/theme/theme1.xml" Id="R2f512ad7cc4b4450" /><Relationship Type="http://schemas.openxmlformats.org/officeDocument/2006/relationships/sharedStrings" Target="/xl/sharedStrings.xml" Id="R18d11f987d8f462f" /><Relationship Type="http://schemas.openxmlformats.org/officeDocument/2006/relationships/worksheet" Target="/xl/worksheets/sheet1.xml" Id="Rcb0ee16b58984812" /><Relationship Type="http://schemas.openxmlformats.org/officeDocument/2006/relationships/worksheet" Target="/xl/worksheets/sheet2.xml" Id="Rbaa371848d484d40" /><Relationship Type="http://schemas.openxmlformats.org/officeDocument/2006/relationships/worksheet" Target="/xl/worksheets/sheet3.xml" Id="Re144fea762534daa" /><Relationship Type="http://schemas.openxmlformats.org/officeDocument/2006/relationships/worksheet" Target="/xl/worksheets/sheet4.xml" Id="R29540e93044a4f28" /><Relationship Type="http://schemas.openxmlformats.org/officeDocument/2006/relationships/worksheet" Target="/xl/worksheets/sheet5.xml" Id="Rdc4d34394a5c4341" /><Relationship Type="http://schemas.openxmlformats.org/officeDocument/2006/relationships/worksheet" Target="/xl/worksheets/sheet6.xml" Id="Rc59278a812974e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8ee8bb46c6412b" /><Relationship Type="http://schemas.openxmlformats.org/officeDocument/2006/relationships/chart" Target="/xl/drawings/charts/chart2.xml" Id="Rdadfb5c6c1c1430d" /><Relationship Type="http://schemas.openxmlformats.org/officeDocument/2006/relationships/chart" Target="/xl/drawings/charts/chart3.xml" Id="R1bbd73346f8049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Lotes por categoría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Lotes</c:v>
          </c:tx>
          <c:cat>
            <c:strRef>
              <c:f>'Visualizaciones'!$A$8:$A$10</c:f>
              <c:strCache>
                <c:ptCount val="0"/>
              </c:strCache>
            </c:strRef>
          </c:cat>
          <c:val>
            <c:numRef>
              <c:f>'Visualizaciones'!$B$8:$B$10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calidad de los lotes</a:t>
            </a:r>
          </a:p>
        </c:rich>
      </c:tx>
    </c:title>
    <c:plotArea>
      <c:pieChart>
        <c:ser>
          <c:idx val="0"/>
          <c:order val="0"/>
          <c:tx>
            <c:v>Lotes</c:v>
          </c:tx>
          <c:cat>
            <c:strRef>
              <c:f>'Visualizaciones'!$A$18:$A$19</c:f>
              <c:strCache>
                <c:ptCount val="0"/>
              </c:strCache>
            </c:strRef>
          </c:cat>
          <c:val>
            <c:numRef>
              <c:f>'Visualizaciones'!$B$18:$B$19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Unidades producidas por planta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Unidades</c:v>
          </c:tx>
          <c:cat>
            <c:strRef>
              <c:f>'Visualizaciones'!$A$27:$A$32</c:f>
              <c:strCache>
                <c:ptCount val="0"/>
              </c:strCache>
            </c:strRef>
          </c:cat>
          <c:val>
            <c:numRef>
              <c:f>'Visualizaciones'!$B$27:$B$32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12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8ee8bb46c6412b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fb5c6c1c1430d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bd73346f8049a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efb6dab4c7a4b9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4" hidden="0" customWidth="1"/>
    <x:col min="5" max="5" width="18" hidden="0" customWidth="1"/>
    <x:col min="6" max="6" width="13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9" hidden="0" customWidth="1"/>
    <x:col min="12" max="12" width="21" hidden="0" customWidth="1"/>
  </x:cols>
  <x:sheetData>
    <x:row r="1" ht="30" customHeight="1">
      <x:c r="A1" s="14" t="str">
        <x:v>No modificar. Esta hoja conserva una copia de los datos originales.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3">
      <x:c r="A3" s="27" t="str">
        <x:v>ID_Lote</x:v>
      </x:c>
      <x:c r="B3" s="28" t="str">
        <x:v>Fecha_Produccion</x:v>
      </x:c>
      <x:c r="C3" s="28" t="str">
        <x:v>Planta</x:v>
      </x:c>
      <x:c r="D3" s="28" t="str">
        <x:v>Pais</x:v>
      </x:c>
      <x:c r="E3" s="28" t="str">
        <x:v>Codigo_Producto</x:v>
      </x:c>
      <x:c r="F3" s="28" t="str">
        <x:v>Categoria</x:v>
      </x:c>
      <x:c r="G3" s="28" t="str">
        <x:v>Linea_Turno</x:v>
      </x:c>
      <x:c r="H3" s="28" t="str">
        <x:v>Supervisor</x:v>
      </x:c>
      <x:c r="I3" s="28" t="str">
        <x:v>Unidades_Producidas</x:v>
      </x:c>
      <x:c r="J3" s="28" t="str">
        <x:v>Costo_Unitario_USD</x:v>
      </x:c>
      <x:c r="K3" s="28" t="str">
        <x:v>Costo_Total_USD</x:v>
      </x:c>
      <x:c r="L3" s="29" t="str">
        <x:v>Unidades_Defectuosas</x:v>
      </x:c>
    </x:row>
    <x:row r="4">
      <x:c r="A4" t="str">
        <x:v>LT-2020-001</x:v>
      </x:c>
      <x:c r="B4" s="44" t="n">
        <x:v>43833</x:v>
      </x:c>
      <x:c r="C4" t="str">
        <x:v>Monterrey</x:v>
      </x:c>
      <x:c r="D4" t="str">
        <x:v>México</x:v>
      </x:c>
      <x:c r="E4" t="str">
        <x:v>HDD-1TB-A</x:v>
      </x:c>
      <x:c r="F4" t="str">
        <x:v>HDD</x:v>
      </x:c>
      <x:c r="G4" t="str">
        <x:v>L2 | Tarde</x:v>
      </x:c>
      <x:c r="H4" t="str">
        <x:v>Ana Torres</x:v>
      </x:c>
      <x:c r="I4" s="46" t="n">
        <x:v>700</x:v>
      </x:c>
      <x:c r="J4" s="48" t="n">
        <x:v>29.61</x:v>
      </x:c>
      <x:c r="K4" s="48" t="n">
        <x:v>20727</x:v>
      </x:c>
      <x:c r="L4" s="46" t="n">
        <x:v>4</x:v>
      </x:c>
    </x:row>
    <x:row r="5">
      <x:c r="A5" t="str">
        <x:v>LT-2020-002</x:v>
      </x:c>
      <x:c r="B5" s="44" t="n">
        <x:v>43873</x:v>
      </x:c>
      <x:c r="C5" t="str">
        <x:v>Guadalajara</x:v>
      </x:c>
      <x:c r="D5" t="str">
        <x:v>México</x:v>
      </x:c>
      <x:c r="E5" t="str">
        <x:v>SSD-1TB-N</x:v>
      </x:c>
      <x:c r="F5" t="str">
        <x:v>SSD</x:v>
      </x:c>
      <x:c r="G5" t="str">
        <x:v>L3 | Mañana</x:v>
      </x:c>
      <x:c r="H5" t="str">
        <x:v>Sofía Herrera</x:v>
      </x:c>
      <x:c r="I5" s="46" t="n">
        <x:v>837</x:v>
      </x:c>
      <x:c r="J5" s="48" t="n">
        <x:v>60.76</x:v>
      </x:c>
      <x:c r="K5" s="48" t="n">
        <x:v>50856.12</x:v>
      </x:c>
      <x:c r="L5" s="46" t="n">
        <x:v>11</x:v>
      </x:c>
    </x:row>
    <x:row r="6">
      <x:c r="A6" t="str">
        <x:v>LT-2020-003</x:v>
      </x:c>
      <x:c r="B6" s="44" t="n">
        <x:v>43914</x:v>
      </x:c>
      <x:c r="C6" t="str">
        <x:v>Bogotá</x:v>
      </x:c>
      <x:c r="D6" t="str">
        <x:v>Colombia</x:v>
      </x:c>
      <x:c r="E6" t="str">
        <x:v>HDD-1TB-A</x:v>
      </x:c>
      <x:c r="F6" t="str">
        <x:v>HDD</x:v>
      </x:c>
      <x:c r="G6" t="str">
        <x:v>L4 | Noche</x:v>
      </x:c>
      <x:c r="H6" t="str">
        <x:v>Paula Ferreira</x:v>
      </x:c>
      <x:c r="I6" s="46" t="n">
        <x:v>974</x:v>
      </x:c>
      <x:c r="J6" s="48" t="n">
        <x:v>32.13</x:v>
      </x:c>
      <x:c r="K6" s="48" t="n">
        <x:v>31294.62</x:v>
      </x:c>
      <x:c r="L6" s="46" t="n">
        <x:v>19</x:v>
      </x:c>
    </x:row>
    <x:row r="7">
      <x:c r="A7" t="str">
        <x:v>LT-2020-004</x:v>
      </x:c>
      <x:c r="B7" s="44" t="n">
        <x:v>43955</x:v>
      </x:c>
      <x:c r="C7" t="str">
        <x:v>Lima</x:v>
      </x:c>
      <x:c r="D7" t="str">
        <x:v>Perú</x:v>
      </x:c>
      <x:c r="E7" t="str">
        <x:v>SSD-1TB-N</x:v>
      </x:c>
      <x:c r="F7" t="str">
        <x:v>SSD</x:v>
      </x:c>
      <x:c r="G7" t="str">
        <x:v>L1 | Tarde</x:v>
      </x:c>
      <x:c r="H7" t="str">
        <x:v>Jorge Castillo</x:v>
      </x:c>
      <x:c r="I7" s="46" t="n">
        <x:v>1111</x:v>
      </x:c>
      <x:c r="J7" s="48" t="n">
        <x:v>65.72</x:v>
      </x:c>
      <x:c r="K7" s="48" t="n">
        <x:v>73014.92</x:v>
      </x:c>
      <x:c r="L7" s="46" t="n">
        <x:v>30</x:v>
      </x:c>
    </x:row>
    <x:row r="8">
      <x:c r="A8" t="str">
        <x:v>LT-2020-005</x:v>
      </x:c>
      <x:c r="B8" s="44" t="n">
        <x:v>43995</x:v>
      </x:c>
      <x:c r="C8" t="str">
        <x:v>São Paulo</x:v>
      </x:c>
      <x:c r="D8" t="str">
        <x:v>Brasil</x:v>
      </x:c>
      <x:c r="E8" t="str">
        <x:v>HDD-1TB-A</x:v>
      </x:c>
      <x:c r="F8" t="str">
        <x:v>hdd </x:v>
      </x:c>
      <x:c r="G8" t="str">
        <x:v>L2 | Mañana</x:v>
      </x:c>
      <x:c r="H8" t="str">
        <x:v>  jorge castillo</x:v>
      </x:c>
      <x:c r="I8" s="46" t="str">
        <x:v>1248</x:v>
      </x:c>
      <x:c r="J8" s="48"/>
      <x:c r="K8" s="48" t="n">
        <x:v>38126.4</x:v>
      </x:c>
      <x:c r="L8" s="46" t="n">
        <x:v>42</x:v>
      </x:c>
    </x:row>
    <x:row r="9">
      <x:c r="A9" t="str">
        <x:v>LT-2020-006</x:v>
      </x:c>
      <x:c r="B9" s="44" t="n">
        <x:v>44036</x:v>
      </x:c>
      <x:c r="C9" t="str">
        <x:v>San José</x:v>
      </x:c>
      <x:c r="D9" t="str">
        <x:v>Costa Rica</x:v>
      </x:c>
      <x:c r="E9" t="str">
        <x:v>SSD-1TB-N</x:v>
      </x:c>
      <x:c r="F9" t="str">
        <x:v>SSD</x:v>
      </x:c>
      <x:c r="G9" t="str">
        <x:v>L3 | Noche</x:v>
      </x:c>
      <x:c r="H9" t="str">
        <x:v>Mariana Gómez</x:v>
      </x:c>
      <x:c r="I9" s="46" t="n">
        <x:v>1385</x:v>
      </x:c>
      <x:c r="J9" s="48" t="n">
        <x:v>62.62</x:v>
      </x:c>
      <x:c r="K9" s="48" t="n">
        <x:v>86728.7</x:v>
      </x:c>
      <x:c r="L9" s="46" t="n">
        <x:v>14</x:v>
      </x:c>
    </x:row>
    <x:row r="10">
      <x:c r="A10" t="str">
        <x:v>LT-2020-007</x:v>
      </x:c>
      <x:c r="B10" s="44" t="n">
        <x:v>44077</x:v>
      </x:c>
      <x:c r="C10" t="str">
        <x:v>Monterrey</x:v>
      </x:c>
      <x:c r="D10" t="str">
        <x:v>México</x:v>
      </x:c>
      <x:c r="E10" t="str">
        <x:v>HDD-1TB-A</x:v>
      </x:c>
      <x:c r="F10" t="str">
        <x:v>HDD</x:v>
      </x:c>
      <x:c r="G10" t="str">
        <x:v>L4 | Tarde</x:v>
      </x:c>
      <x:c r="H10" t="str">
        <x:v>Diego Salazar</x:v>
      </x:c>
      <x:c r="I10" s="46" t="n">
        <x:v>1522</x:v>
      </x:c>
      <x:c r="J10" s="48" t="n">
        <x:v>33.08</x:v>
      </x:c>
      <x:c r="K10" s="48" t="n">
        <x:v>50347.76</x:v>
      </x:c>
      <x:c r="L10" s="46" t="n">
        <x:v>26</x:v>
      </x:c>
    </x:row>
    <x:row r="11">
      <x:c r="A11" t="str">
        <x:v>LT-2020-008</x:v>
      </x:c>
      <x:c r="B11" s="44" t="n">
        <x:v>44117</x:v>
      </x:c>
      <x:c r="C11" t="str">
        <x:v>Guadalajara</x:v>
      </x:c>
      <x:c r="D11" t="str">
        <x:v>México</x:v>
      </x:c>
      <x:c r="E11" t="str">
        <x:v>RAM-8-V</x:v>
      </x:c>
      <x:c r="F11" t="str">
        <x:v>RAM</x:v>
      </x:c>
      <x:c r="G11" t="str">
        <x:v>L1 | Mañana</x:v>
      </x:c>
      <x:c r="H11" t="str">
        <x:v>Carla Ribeiro</x:v>
      </x:c>
      <x:c r="I11" s="46" t="n">
        <x:v>1659</x:v>
      </x:c>
      <x:c r="J11" s="48" t="n">
        <x:v>17.76</x:v>
      </x:c>
      <x:c r="K11" s="48" t="n">
        <x:v>29463.84</x:v>
      </x:c>
      <x:c r="L11" s="46" t="n">
        <x:v>40</x:v>
      </x:c>
    </x:row>
    <x:row r="12">
      <x:c r="A12" t="str">
        <x:v>LT-2020-009</x:v>
      </x:c>
      <x:c r="B12" s="44" t="n">
        <x:v>44158</x:v>
      </x:c>
      <x:c r="C12" t="str">
        <x:v>Bogotá</x:v>
      </x:c>
      <x:c r="D12" t="str">
        <x:v>Colombia</x:v>
      </x:c>
      <x:c r="E12" t="str">
        <x:v>HDD-2TB-B</x:v>
      </x:c>
      <x:c r="F12" t="str">
        <x:v>HDD</x:v>
      </x:c>
      <x:c r="G12" t="str">
        <x:v>L2 | Noche</x:v>
      </x:c>
      <x:c r="H12" t="str">
        <x:v>Carla Ribeiro</x:v>
      </x:c>
      <x:c r="I12" s="46" t="n">
        <x:v>1796</x:v>
      </x:c>
      <x:c r="J12" s="48" t="n">
        <x:v>45</x:v>
      </x:c>
      <x:c r="K12" s="48" t="n">
        <x:v>80820</x:v>
      </x:c>
      <x:c r="L12" s="46" t="n">
        <x:v>56</x:v>
      </x:c>
    </x:row>
    <x:row r="13">
      <x:c r="A13" t="str">
        <x:v>LT-2020-010</x:v>
      </x:c>
      <x:c r="B13" s="44" t="n">
        <x:v>43839</x:v>
      </x:c>
      <x:c r="C13" t="str">
        <x:v>Lima</x:v>
      </x:c>
      <x:c r="D13" t="str">
        <x:v>Perú</x:v>
      </x:c>
      <x:c r="E13" t="str">
        <x:v>RAM-8-V</x:v>
      </x:c>
      <x:c r="F13" t="str">
        <x:v>RAM</x:v>
      </x:c>
      <x:c r="G13" t="str">
        <x:v>L3 | Tarde</x:v>
      </x:c>
      <x:c r="H13" t="str">
        <x:v>Luis Mendoza</x:v>
      </x:c>
      <x:c r="I13" s="46" t="n">
        <x:v>833</x:v>
      </x:c>
      <x:c r="J13" s="48" t="n">
        <x:v>19.24</x:v>
      </x:c>
      <x:c r="K13" s="48" t="n">
        <x:v>16026.92</x:v>
      </x:c>
      <x:c r="L13" s="46" t="n">
        <x:v>6</x:v>
      </x:c>
    </x:row>
    <x:row r="14">
      <x:c r="A14" t="str">
        <x:v>LT-2020-011</x:v>
      </x:c>
      <x:c r="B14" s="44" t="n">
        <x:v>43879</x:v>
      </x:c>
      <x:c r="C14" t="str">
        <x:v>São Paulo</x:v>
      </x:c>
      <x:c r="D14" t="str">
        <x:v>Brasil</x:v>
      </x:c>
      <x:c r="E14" t="str">
        <x:v>HDD-2TB-B</x:v>
      </x:c>
      <x:c r="F14" t="str">
        <x:v>HDD</x:v>
      </x:c>
      <x:c r="G14" t="str">
        <x:v>L4 | Mañana</x:v>
      </x:c>
      <x:c r="H14" t="str">
        <x:v>Ana Torres</x:v>
      </x:c>
      <x:c r="I14" s="46" t="n">
        <x:v>970</x:v>
      </x:c>
      <x:c r="J14" s="48" t="n">
        <x:v>42.75</x:v>
      </x:c>
      <x:c r="K14" s="48" t="n">
        <x:v>41467.5</x:v>
      </x:c>
      <x:c r="L14" s="46" t="n">
        <x:v>14</x:v>
      </x:c>
    </x:row>
    <x:row r="15">
      <x:c r="A15" t="str">
        <x:v>LT-2020-012</x:v>
      </x:c>
      <x:c r="B15" s="44" t="str">
        <x:v>2020-03-30</x:v>
      </x:c>
      <x:c r="C15" t="str">
        <x:v>SAN JOSE</x:v>
      </x:c>
      <x:c r="D15" t="str">
        <x:v>Costa Rica</x:v>
      </x:c>
      <x:c r="E15" t="str">
        <x:v>RAM-8-V</x:v>
      </x:c>
      <x:c r="F15" t="str">
        <x:v>RAM</x:v>
      </x:c>
      <x:c r="G15" t="str">
        <x:v>L1 | Noche</x:v>
      </x:c>
      <x:c r="H15" t="str">
        <x:v>Sofía Herrera</x:v>
      </x:c>
      <x:c r="I15" s="46" t="n">
        <x:v>1107</x:v>
      </x:c>
      <x:c r="J15" s="48" t="n">
        <x:v>18.32</x:v>
      </x:c>
      <x:c r="K15" s="48"/>
      <x:c r="L15" s="46" t="n">
        <x:v>23</x:v>
      </x:c>
    </x:row>
    <x:row r="16">
      <x:c r="A16" t="str">
        <x:v>LT-2020-013</x:v>
      </x:c>
      <x:c r="B16" s="44" t="n">
        <x:v>43961</x:v>
      </x:c>
      <x:c r="C16" t="str">
        <x:v>Monterrey</x:v>
      </x:c>
      <x:c r="D16" t="str">
        <x:v>México</x:v>
      </x:c>
      <x:c r="E16" t="str">
        <x:v>HDD-2TB-B</x:v>
      </x:c>
      <x:c r="F16" t="str">
        <x:v>HDD</x:v>
      </x:c>
      <x:c r="G16" t="str">
        <x:v>L2 | Tarde</x:v>
      </x:c>
      <x:c r="H16" t="str">
        <x:v>Sofía Herrera</x:v>
      </x:c>
      <x:c r="I16" s="46" t="n">
        <x:v>1244</x:v>
      </x:c>
      <x:c r="J16" s="48" t="n">
        <x:v>46.35</x:v>
      </x:c>
      <x:c r="K16" s="48" t="n">
        <x:v>57659.4</x:v>
      </x:c>
      <x:c r="L16" s="46" t="n">
        <x:v>35</x:v>
      </x:c>
    </x:row>
    <x:row r="17">
      <x:c r="A17" t="str">
        <x:v>LT-2020-014</x:v>
      </x:c>
      <x:c r="B17" s="44" t="n">
        <x:v>44001</x:v>
      </x:c>
      <x:c r="C17" t="str">
        <x:v>Guadalajara</x:v>
      </x:c>
      <x:c r="D17" t="str">
        <x:v>México</x:v>
      </x:c>
      <x:c r="E17" t="str">
        <x:v>RAM-8-V</x:v>
      </x:c>
      <x:c r="F17" t="str">
        <x:v>RAM</x:v>
      </x:c>
      <x:c r="G17" t="str">
        <x:v>L3 | Mañana</x:v>
      </x:c>
      <x:c r="H17" t="str">
        <x:v>Paula Ferreira</x:v>
      </x:c>
      <x:c r="I17" s="46" t="n">
        <x:v>1381</x:v>
      </x:c>
      <x:c r="J17" s="48" t="n">
        <x:v>17.39</x:v>
      </x:c>
      <x:c r="K17" s="48" t="n">
        <x:v>24015.59</x:v>
      </x:c>
      <x:c r="L17" s="46" t="n">
        <x:v>48</x:v>
      </x:c>
    </x:row>
    <x:row r="18">
      <x:c r="A18" t="str">
        <x:v>LT-2020-015</x:v>
      </x:c>
      <x:c r="B18" s="44" t="n">
        <x:v>44042</x:v>
      </x:c>
      <x:c r="C18" t="str">
        <x:v>Bogotá</x:v>
      </x:c>
      <x:c r="D18" t="str">
        <x:v>Colombia</x:v>
      </x:c>
      <x:c r="E18" t="str">
        <x:v>SSD-512-N</x:v>
      </x:c>
      <x:c r="F18" t="str">
        <x:v>SSD</x:v>
      </x:c>
      <x:c r="G18" t="str">
        <x:v>L4 | Noche</x:v>
      </x:c>
      <x:c r="H18" t="str">
        <x:v>Jorge Castillo</x:v>
      </x:c>
      <x:c r="I18" s="46" t="n">
        <x:v>1518</x:v>
      </x:c>
      <x:c r="J18" s="48" t="n">
        <x:v>38.22</x:v>
      </x:c>
      <x:c r="K18" s="48" t="n">
        <x:v>58017.96</x:v>
      </x:c>
      <x:c r="L18" s="46" t="n">
        <x:v>17</x:v>
      </x:c>
    </x:row>
    <x:row r="19">
      <x:c r="A19" t="str">
        <x:v>LT-2020-016</x:v>
      </x:c>
      <x:c r="B19" s="44" t="n">
        <x:v>44083</x:v>
      </x:c>
      <x:c r="C19" t="str">
        <x:v>Lima</x:v>
      </x:c>
      <x:c r="D19" t="str">
        <x:v>Perú</x:v>
      </x:c>
      <x:c r="E19" t="str">
        <x:v>RAM-16-V</x:v>
      </x:c>
      <x:c r="F19" t="str">
        <x:v>RAM</x:v>
      </x:c>
      <x:c r="G19" t="str">
        <x:v>L1 | Tarde</x:v>
      </x:c>
      <x:c r="H19" t="str">
        <x:v>Mariana Gómez</x:v>
      </x:c>
      <x:c r="I19" s="46" t="n">
        <x:v>1655</x:v>
      </x:c>
      <x:c r="J19" s="48" t="n">
        <x:v>31.62</x:v>
      </x:c>
      <x:c r="K19" s="48" t="n">
        <x:v>52331.1</x:v>
      </x:c>
      <x:c r="L19" s="46" t="n">
        <x:v>30</x:v>
      </x:c>
    </x:row>
    <x:row r="20">
      <x:c r="A20" t="str">
        <x:v>LT-2020-017</x:v>
      </x:c>
      <x:c r="B20" s="44" t="n">
        <x:v>44123</x:v>
      </x:c>
      <x:c r="C20" t="str">
        <x:v>São Paulo</x:v>
      </x:c>
      <x:c r="D20" t="str">
        <x:v>Brasil</x:v>
      </x:c>
      <x:c r="E20" t="str">
        <x:v>SSD-512-N</x:v>
      </x:c>
      <x:c r="F20" t="str">
        <x:v>SSD</x:v>
      </x:c>
      <x:c r="G20" t="str">
        <x:v>L2 | Mañana</x:v>
      </x:c>
      <x:c r="H20" t="str">
        <x:v>Mariana Gómez</x:v>
      </x:c>
      <x:c r="I20" s="46" t="n">
        <x:v>1792</x:v>
      </x:c>
      <x:c r="J20" s="48" t="n">
        <x:v>41.34</x:v>
      </x:c>
      <x:c r="K20" s="48" t="n">
        <x:v>74081.28</x:v>
      </x:c>
      <x:c r="L20" s="46" t="n">
        <x:v>45</x:v>
      </x:c>
    </x:row>
    <x:row r="21">
      <x:c r="A21" t="str">
        <x:v>LT-2020-018</x:v>
      </x:c>
      <x:c r="B21" s="44" t="n">
        <x:v>44164</x:v>
      </x:c>
      <x:c r="C21" t="str">
        <x:v>San José</x:v>
      </x:c>
      <x:c r="D21" t="str">
        <x:v>Costa Rica</x:v>
      </x:c>
      <x:c r="E21" t="str">
        <x:v>RAM-16-V</x:v>
      </x:c>
      <x:c r="F21" t="str">
        <x:v>RAM</x:v>
      </x:c>
      <x:c r="G21" t="str">
        <x:v>L3 | Noche</x:v>
      </x:c>
      <x:c r="H21" t="str">
        <x:v>Diego Salazar</x:v>
      </x:c>
      <x:c r="I21" s="46" t="n">
        <x:v>829</x:v>
      </x:c>
      <x:c r="J21" s="48" t="n">
        <x:v>30.07</x:v>
      </x:c>
      <x:c r="K21" s="48" t="n">
        <x:v>24928.03</x:v>
      </x:c>
      <x:c r="L21" s="46" t="n">
        <x:v>27</x:v>
      </x:c>
    </x:row>
    <x:row r="22">
      <x:c r="A22" t="str">
        <x:v>LT-2020-019</x:v>
      </x:c>
      <x:c r="B22" s="44" t="n">
        <x:v>43845</x:v>
      </x:c>
      <x:c r="C22" t="str">
        <x:v>Monterrey</x:v>
      </x:c>
      <x:c r="D22" t="str">
        <x:v>mexico</x:v>
      </x:c>
      <x:c r="E22" t="str">
        <x:v> ssd-512-n </x:v>
      </x:c>
      <x:c r="F22" t="str">
        <x:v>SSD</x:v>
      </x:c>
      <x:c r="G22" t="str">
        <x:v>L4 | Tarde</x:v>
      </x:c>
      <x:c r="H22" t="str">
        <x:v>Carla Ribeiro</x:v>
      </x:c>
      <x:c r="I22" s="46" t="n">
        <x:v>966</x:v>
      </x:c>
      <x:c r="J22" s="48" t="n">
        <x:v>39.39</x:v>
      </x:c>
      <x:c r="K22" s="48" t="str">
        <x:v>38050.74</x:v>
      </x:c>
      <x:c r="L22" s="46"/>
    </x:row>
    <x:row r="23">
      <x:c r="A23" t="str">
        <x:v>LT-2020-020</x:v>
      </x:c>
      <x:c r="B23" s="44" t="n">
        <x:v>43885</x:v>
      </x:c>
      <x:c r="C23" t="str">
        <x:v>Guadalajara</x:v>
      </x:c>
      <x:c r="D23" t="str">
        <x:v>México</x:v>
      </x:c>
      <x:c r="E23" t="str">
        <x:v>RAM-16-V</x:v>
      </x:c>
      <x:c r="F23" t="str">
        <x:v>RAM</x:v>
      </x:c>
      <x:c r="G23" t="str">
        <x:v>L1 | Mañana</x:v>
      </x:c>
      <x:c r="H23" t="str">
        <x:v>Luis Mendoza</x:v>
      </x:c>
      <x:c r="I23" s="46" t="n">
        <x:v>1103</x:v>
      </x:c>
      <x:c r="J23" s="48" t="n">
        <x:v>32.55</x:v>
      </x:c>
      <x:c r="K23" s="48" t="n">
        <x:v>35902.65</x:v>
      </x:c>
      <x:c r="L23" s="46" t="n">
        <x:v>17</x:v>
      </x:c>
    </x:row>
    <x:row r="24">
      <x:c r="A24" t="str">
        <x:v>LT-2020-021</x:v>
      </x:c>
      <x:c r="B24" s="44" t="n">
        <x:v>43926</x:v>
      </x:c>
      <x:c r="C24" t="str">
        <x:v>Bogotá</x:v>
      </x:c>
      <x:c r="D24" t="str">
        <x:v>Colombia</x:v>
      </x:c>
      <x:c r="E24" t="str">
        <x:v>SSD-512-N</x:v>
      </x:c>
      <x:c r="F24" t="str">
        <x:v>SSD</x:v>
      </x:c>
      <x:c r="G24" t="str">
        <x:v>L2 | Noche</x:v>
      </x:c>
      <x:c r="H24" t="str">
        <x:v>Luis Mendoza</x:v>
      </x:c>
      <x:c r="I24" s="46" t="n">
        <x:v>1240</x:v>
      </x:c>
      <x:c r="J24" s="48" t="n">
        <x:v>37.44</x:v>
      </x:c>
      <x:c r="K24" s="48" t="n">
        <x:v>46425.6</x:v>
      </x:c>
      <x:c r="L24" s="46" t="n">
        <x:v>27</x:v>
      </x:c>
    </x:row>
    <x:row r="25">
      <x:c r="A25" t="str">
        <x:v>LT-2020-022</x:v>
      </x:c>
      <x:c r="B25" s="44" t="n">
        <x:v>43967</x:v>
      </x:c>
      <x:c r="C25" t="str">
        <x:v>Lima</x:v>
      </x:c>
      <x:c r="D25" t="str">
        <x:v>Perú</x:v>
      </x:c>
      <x:c r="E25" t="str">
        <x:v>HDD-1TB-A</x:v>
      </x:c>
      <x:c r="F25" t="str">
        <x:v>HDD</x:v>
      </x:c>
      <x:c r="G25" t="str">
        <x:v>L3 | Tarde</x:v>
      </x:c>
      <x:c r="H25" t="str">
        <x:v>Ana Torres</x:v>
      </x:c>
      <x:c r="I25" s="46" t="n">
        <x:v>1377</x:v>
      </x:c>
      <x:c r="J25" s="48" t="n">
        <x:v>31.5</x:v>
      </x:c>
      <x:c r="K25" s="48" t="n">
        <x:v>43375.5</x:v>
      </x:c>
      <x:c r="L25" s="46" t="n">
        <x:v>40</x:v>
      </x:c>
    </x:row>
    <x:row r="26">
      <x:c r="A26" t="str">
        <x:v>LT-2020-023</x:v>
      </x:c>
      <x:c r="B26" s="44" t="n">
        <x:v>44007</x:v>
      </x:c>
      <x:c r="C26" t="str">
        <x:v>São Paulo</x:v>
      </x:c>
      <x:c r="D26" t="str">
        <x:v>Brasil</x:v>
      </x:c>
      <x:c r="E26" t="str">
        <x:v>SSD-1TB-N</x:v>
      </x:c>
      <x:c r="F26" t="str">
        <x:v>SSD</x:v>
      </x:c>
      <x:c r="G26" t="str">
        <x:v>L4 | Mañana</x:v>
      </x:c>
      <x:c r="H26" t="str">
        <x:v>Sofía Herrera</x:v>
      </x:c>
      <x:c r="I26" s="46" t="n">
        <x:v>1514</x:v>
      </x:c>
      <x:c r="J26" s="48" t="n">
        <x:v>64.48</x:v>
      </x:c>
      <x:c r="K26" s="48" t="n">
        <x:v>97622.72</x:v>
      </x:c>
      <x:c r="L26" s="46" t="n">
        <x:v>55</x:v>
      </x:c>
    </x:row>
    <x:row r="27">
      <x:c r="A27" t="str">
        <x:v>LT-2020-024</x:v>
      </x:c>
      <x:c r="B27" s="44" t="n">
        <x:v>44048</x:v>
      </x:c>
      <x:c r="C27" t="str">
        <x:v>San José</x:v>
      </x:c>
      <x:c r="D27" t="str">
        <x:v>Costa Rica</x:v>
      </x:c>
      <x:c r="E27" t="str">
        <x:v>HDD-1TB-A</x:v>
      </x:c>
      <x:c r="F27" t="str">
        <x:v>HDD</x:v>
      </x:c>
      <x:c r="G27" t="str">
        <x:v>L1 | Noche</x:v>
      </x:c>
      <x:c r="H27" t="str">
        <x:v>Paula Ferreira</x:v>
      </x:c>
      <x:c r="I27" s="46" t="n">
        <x:v>1651</x:v>
      </x:c>
      <x:c r="J27" s="48" t="n">
        <x:v>29.92</x:v>
      </x:c>
      <x:c r="K27" s="48" t="n">
        <x:v>49397.92</x:v>
      </x:c>
      <x:c r="L27" s="46" t="n">
        <x:v>20</x:v>
      </x:c>
    </x:row>
    <x:row r="28">
      <x:c r="A28" t="str">
        <x:v>LT-2020-025</x:v>
      </x:c>
      <x:c r="B28" s="44" t="n">
        <x:v>44089</x:v>
      </x:c>
      <x:c r="C28" t="str">
        <x:v>Monterrey</x:v>
      </x:c>
      <x:c r="D28" t="str">
        <x:v>México</x:v>
      </x:c>
      <x:c r="E28" t="str">
        <x:v>SSD-1TB-N</x:v>
      </x:c>
      <x:c r="F28" t="str">
        <x:v>SSD</x:v>
      </x:c>
      <x:c r="G28" t="str">
        <x:v>L2 | Tarde</x:v>
      </x:c>
      <x:c r="H28" t="str">
        <x:v>Paula Ferreira</x:v>
      </x:c>
      <x:c r="I28" s="46" t="n">
        <x:v>1788</x:v>
      </x:c>
      <x:c r="J28" s="48" t="n">
        <x:v>61.38</x:v>
      </x:c>
      <x:c r="K28" s="48" t="n">
        <x:v>109747.44</x:v>
      </x:c>
      <x:c r="L28" s="46" t="n">
        <x:v>34</x:v>
      </x:c>
    </x:row>
    <x:row r="29">
      <x:c r="A29" t="str">
        <x:v>LT-2020-026</x:v>
      </x:c>
      <x:c r="B29" s="44" t="str">
        <x:v>25-Oct-2020</x:v>
      </x:c>
      <x:c r="C29" t="str">
        <x:v>guadalajara </x:v>
      </x:c>
      <x:c r="D29" t="str">
        <x:v>México</x:v>
      </x:c>
      <x:c r="E29" t="str">
        <x:v>HDD-1TB-A</x:v>
      </x:c>
      <x:c r="F29" t="str">
        <x:v>HDD</x:v>
      </x:c>
      <x:c r="G29" t="str">
        <x:v>L3 | Mañana</x:v>
      </x:c>
      <x:c r="H29" t="str">
        <x:v>Jorge Castillo</x:v>
      </x:c>
      <x:c r="I29" s="46" t="n">
        <x:v>825</x:v>
      </x:c>
      <x:c r="J29" s="48" t="n">
        <x:v>32.45</x:v>
      </x:c>
      <x:c r="K29" s="48" t="n">
        <x:v>26771.25</x:v>
      </x:c>
      <x:c r="L29" s="46" t="n">
        <x:v>21</x:v>
      </x:c>
    </x:row>
    <x:row r="30">
      <x:c r="A30" t="str">
        <x:v>LT-2020-027</x:v>
      </x:c>
      <x:c r="B30" s="44" t="n">
        <x:v>44170</x:v>
      </x:c>
      <x:c r="C30" t="str">
        <x:v>Bogotá</x:v>
      </x:c>
      <x:c r="D30" t="str">
        <x:v>Colombia</x:v>
      </x:c>
      <x:c r="E30" t="str">
        <x:v>SSD-1TB-N</x:v>
      </x:c>
      <x:c r="F30" t="str">
        <x:v>SSD</x:v>
      </x:c>
      <x:c r="G30" t="str">
        <x:v>L4 | Noche</x:v>
      </x:c>
      <x:c r="H30" t="str">
        <x:v>Mariana Gómez</x:v>
      </x:c>
      <x:c r="I30" s="46" t="n">
        <x:v>962</x:v>
      </x:c>
      <x:c r="J30" s="48" t="n">
        <x:v>58.28</x:v>
      </x:c>
      <x:c r="K30" s="48" t="n">
        <x:v>56065.36</x:v>
      </x:c>
      <x:c r="L30" s="46" t="n">
        <x:v>32</x:v>
      </x:c>
    </x:row>
    <x:row r="31">
      <x:c r="A31" t="str">
        <x:v>LT-2020-028</x:v>
      </x:c>
      <x:c r="B31" s="44" t="n">
        <x:v>43851</x:v>
      </x:c>
      <x:c r="C31" t="str">
        <x:v>Lima</x:v>
      </x:c>
      <x:c r="D31" t="str">
        <x:v>Perú</x:v>
      </x:c>
      <x:c r="E31" t="str">
        <x:v>HDD-1TB-A</x:v>
      </x:c>
      <x:c r="F31" t="str">
        <x:v>HDD</x:v>
      </x:c>
      <x:c r="G31" t="str">
        <x:v>L1 | Tarde</x:v>
      </x:c>
      <x:c r="H31" t="str">
        <x:v>Diego Salazar</x:v>
      </x:c>
      <x:c r="I31" s="46" t="n">
        <x:v>1099</x:v>
      </x:c>
      <x:c r="J31" s="48" t="n">
        <x:v>30.87</x:v>
      </x:c>
      <x:c r="K31" s="48" t="n">
        <x:v>33926.13</x:v>
      </x:c>
      <x:c r="L31" s="46" t="n">
        <x:v>10</x:v>
      </x:c>
    </x:row>
    <x:row r="32">
      <x:c r="A32" t="str">
        <x:v>LT-2020-029</x:v>
      </x:c>
      <x:c r="B32" s="44" t="n">
        <x:v>43891</x:v>
      </x:c>
      <x:c r="C32" t="str">
        <x:v>São Paulo</x:v>
      </x:c>
      <x:c r="D32" t="str">
        <x:v>Brasil</x:v>
      </x:c>
      <x:c r="E32" t="str">
        <x:v>RAM-8-V</x:v>
      </x:c>
      <x:c r="F32" t="str">
        <x:v>RAM</x:v>
      </x:c>
      <x:c r="G32" t="str">
        <x:v>L2 | Mañana</x:v>
      </x:c>
      <x:c r="H32" t="str">
        <x:v>Diego Salazar</x:v>
      </x:c>
      <x:c r="I32" s="46" t="n">
        <x:v>1236</x:v>
      </x:c>
      <x:c r="J32" s="48" t="n">
        <x:v>18.87</x:v>
      </x:c>
      <x:c r="K32" s="48" t="n">
        <x:v>23323.32</x:v>
      </x:c>
      <x:c r="L32" s="46" t="n">
        <x:v>20</x:v>
      </x:c>
    </x:row>
    <x:row r="33">
      <x:c r="A33" t="str">
        <x:v>LT-2020-030</x:v>
      </x:c>
      <x:c r="B33" s="44" t="n">
        <x:v>43932</x:v>
      </x:c>
      <x:c r="C33" t="str">
        <x:v>San José</x:v>
      </x:c>
      <x:c r="D33" t="str">
        <x:v>Costa Rica</x:v>
      </x:c>
      <x:c r="E33" t="str">
        <x:v>HDD-2TB-B</x:v>
      </x:c>
      <x:c r="F33" t="str">
        <x:v>HDD</x:v>
      </x:c>
      <x:c r="G33" t="str">
        <x:v>L3 | Noche</x:v>
      </x:c>
      <x:c r="H33" t="str">
        <x:v>Carla Ribeiro</x:v>
      </x:c>
      <x:c r="I33" s="46" t="n">
        <x:v>1373</x:v>
      </x:c>
      <x:c r="J33" s="48" t="n">
        <x:v>47.7</x:v>
      </x:c>
      <x:c r="K33" s="48" t="n">
        <x:v>65492.1</x:v>
      </x:c>
      <x:c r="L33" s="46" t="n">
        <x:v>32</x:v>
      </x:c>
    </x:row>
    <x:row r="34">
      <x:c r="A34" t="str">
        <x:v>LT-2020-031</x:v>
      </x:c>
      <x:c r="B34" s="44" t="n">
        <x:v>43973</x:v>
      </x:c>
      <x:c r="C34" t="str">
        <x:v>Monterrey</x:v>
      </x:c>
      <x:c r="D34" t="str">
        <x:v>México</x:v>
      </x:c>
      <x:c r="E34" t="str">
        <x:v>RAM-8-V</x:v>
      </x:c>
      <x:c r="F34" t="str">
        <x:v>RAM</x:v>
      </x:c>
      <x:c r="G34" t="str">
        <x:v>L4 | Tarde</x:v>
      </x:c>
      <x:c r="H34" t="str">
        <x:v>Luis Mendoza</x:v>
      </x:c>
      <x:c r="I34" s="46" t="n">
        <x:v>1510</x:v>
      </x:c>
      <x:c r="J34" s="48" t="n">
        <x:v>17.95</x:v>
      </x:c>
      <x:c r="K34" s="48" t="n">
        <x:v>27104.5</x:v>
      </x:c>
      <x:c r="L34" s="46" t="n">
        <x:v>45</x:v>
      </x:c>
    </x:row>
    <x:row r="35">
      <x:c r="A35" t="str">
        <x:v>LT-2020-032</x:v>
      </x:c>
      <x:c r="B35" s="44" t="n">
        <x:v>44013</x:v>
      </x:c>
      <x:c r="C35" t="str">
        <x:v>Guadalajara</x:v>
      </x:c>
      <x:c r="D35" t="str">
        <x:v>México</x:v>
      </x:c>
      <x:c r="E35" t="str">
        <x:v>HDD-2TB-B</x:v>
      </x:c>
      <x:c r="F35" t="str">
        <x:v>HDD</x:v>
      </x:c>
      <x:c r="G35" t="str">
        <x:v>L1 | Mañana</x:v>
      </x:c>
      <x:c r="H35" t="str">
        <x:v>Ana Torres</x:v>
      </x:c>
      <x:c r="I35" s="46" t="n">
        <x:v>1647</x:v>
      </x:c>
      <x:c r="J35" s="48" t="n">
        <x:v>45.45</x:v>
      </x:c>
      <x:c r="K35" s="48" t="n">
        <x:v>74856.15</x:v>
      </x:c>
      <x:c r="L35" s="46" t="n">
        <x:v>10</x:v>
      </x:c>
    </x:row>
    <x:row r="36">
      <x:c r="A36" t="str">
        <x:v>LT-2020-033</x:v>
      </x:c>
      <x:c r="B36" s="44" t="n">
        <x:v>44054</x:v>
      </x:c>
      <x:c r="C36" t="str">
        <x:v>Bogotá</x:v>
      </x:c>
      <x:c r="D36" t="str">
        <x:v>Colombia</x:v>
      </x:c>
      <x:c r="E36" t="str">
        <x:v>RAM-8-V</x:v>
      </x:c>
      <x:c r="F36" t="str">
        <x:v>Memoria RAM</x:v>
      </x:c>
      <x:c r="G36" t="str">
        <x:v>L2 | Noche</x:v>
      </x:c>
      <x:c r="H36" t="str">
        <x:v>Ana Torres</x:v>
      </x:c>
      <x:c r="I36" s="46" t="n">
        <x:v>1784</x:v>
      </x:c>
      <x:c r="J36" s="48"/>
      <x:c r="K36" s="48" t="n">
        <x:v>34663.12</x:v>
      </x:c>
      <x:c r="L36" s="46" t="n">
        <x:v>23</x:v>
      </x:c>
    </x:row>
    <x:row r="37">
      <x:c r="A37" t="str">
        <x:v>LT-2020-034</x:v>
      </x:c>
      <x:c r="B37" s="44" t="n">
        <x:v>44095</x:v>
      </x:c>
      <x:c r="C37" t="str">
        <x:v>Lima</x:v>
      </x:c>
      <x:c r="D37" t="str">
        <x:v>Perú</x:v>
      </x:c>
      <x:c r="E37" t="str">
        <x:v>HDD-2TB-B</x:v>
      </x:c>
      <x:c r="F37" t="str">
        <x:v>HDD</x:v>
      </x:c>
      <x:c r="G37" t="str">
        <x:v>L3 | Tarde</x:v>
      </x:c>
      <x:c r="H37" t="str">
        <x:v>Sofía Herrera</x:v>
      </x:c>
      <x:c r="I37" s="46" t="n">
        <x:v>821</x:v>
      </x:c>
      <x:c r="J37" s="48" t="n">
        <x:v>43.2</x:v>
      </x:c>
      <x:c r="K37" s="48" t="n">
        <x:v>35467.2</x:v>
      </x:c>
      <x:c r="L37" s="46" t="n">
        <x:v>16</x:v>
      </x:c>
    </x:row>
    <x:row r="38">
      <x:c r="A38" t="str">
        <x:v>LT-2020-035</x:v>
      </x:c>
      <x:c r="B38" s="44" t="n">
        <x:v>44135</x:v>
      </x:c>
      <x:c r="C38" t="str">
        <x:v>São Paulo</x:v>
      </x:c>
      <x:c r="D38" t="str">
        <x:v>Brasil</x:v>
      </x:c>
      <x:c r="E38" t="str">
        <x:v>RAM-8-V</x:v>
      </x:c>
      <x:c r="F38" t="str">
        <x:v>RAM</x:v>
      </x:c>
      <x:c r="G38" t="str">
        <x:v>L4 | Mañana</x:v>
      </x:c>
      <x:c r="H38" t="str">
        <x:v>Paula Ferreira</x:v>
      </x:c>
      <x:c r="I38" s="46" t="n">
        <x:v>958</x:v>
      </x:c>
      <x:c r="J38" s="48" t="n">
        <x:v>18.5</x:v>
      </x:c>
      <x:c r="K38" s="48" t="n">
        <x:v>17723</x:v>
      </x:c>
      <x:c r="L38" s="46" t="n">
        <x:v>26</x:v>
      </x:c>
    </x:row>
    <x:row r="39">
      <x:c r="A39" t="str">
        <x:v>LT-2020-036</x:v>
      </x:c>
      <x:c r="B39" s="44" t="n">
        <x:v>44176</x:v>
      </x:c>
      <x:c r="C39" t="str">
        <x:v>San José</x:v>
      </x:c>
      <x:c r="D39" t="str">
        <x:v>Costa Rica</x:v>
      </x:c>
      <x:c r="E39" t="str">
        <x:v>SSD-512-N</x:v>
      </x:c>
      <x:c r="F39" t="str">
        <x:v>SSD</x:v>
      </x:c>
      <x:c r="G39" t="str">
        <x:v>L1 | Noche</x:v>
      </x:c>
      <x:c r="H39" t="str">
        <x:v>Jorge Castillo</x:v>
      </x:c>
      <x:c r="I39" s="46" t="n">
        <x:v>1095</x:v>
      </x:c>
      <x:c r="J39" s="48" t="n">
        <x:v>40.56</x:v>
      </x:c>
      <x:c r="K39" s="48" t="n">
        <x:v>44413.2</x:v>
      </x:c>
      <x:c r="L39" s="46" t="n">
        <x:v>37</x:v>
      </x:c>
    </x:row>
    <x:row r="40">
      <x:c r="A40" t="str">
        <x:v>LT-2020-037</x:v>
      </x:c>
      <x:c r="B40" s="44" t="n">
        <x:v>43857</x:v>
      </x:c>
      <x:c r="C40" t="str">
        <x:v>Monterrey</x:v>
      </x:c>
      <x:c r="D40" t="str">
        <x:v>México</x:v>
      </x:c>
      <x:c r="E40" t="str">
        <x:v>RAM-16-V</x:v>
      </x:c>
      <x:c r="F40" t="str">
        <x:v>RAM</x:v>
      </x:c>
      <x:c r="G40" t="str">
        <x:v>L2 | Tarde</x:v>
      </x:c>
      <x:c r="H40" t="str">
        <x:v>Jorge Castillo</x:v>
      </x:c>
      <x:c r="I40" s="46" t="n">
        <x:v>1232</x:v>
      </x:c>
      <x:c r="J40" s="48" t="n">
        <x:v>29.45</x:v>
      </x:c>
      <x:c r="K40" s="48" t="n">
        <x:v>36282.4</x:v>
      </x:c>
      <x:c r="L40" s="46" t="n">
        <x:v>12</x:v>
      </x:c>
    </x:row>
    <x:row r="41">
      <x:c r="A41" t="str">
        <x:v>LT-2020-038</x:v>
      </x:c>
      <x:c r="B41" s="44" t="n">
        <x:v>43897</x:v>
      </x:c>
      <x:c r="C41" t="str">
        <x:v>Guadalajara</x:v>
      </x:c>
      <x:c r="D41" t="str">
        <x:v>México</x:v>
      </x:c>
      <x:c r="E41" t="str">
        <x:v>SSD-512-N</x:v>
      </x:c>
      <x:c r="F41" t="str">
        <x:v>SSD</x:v>
      </x:c>
      <x:c r="G41" t="str">
        <x:v>L3 | Mañana</x:v>
      </x:c>
      <x:c r="H41" t="str">
        <x:v>Mariana Gómez</x:v>
      </x:c>
      <x:c r="I41" s="46" t="n">
        <x:v>1369</x:v>
      </x:c>
      <x:c r="J41" s="48" t="n">
        <x:v>38.61</x:v>
      </x:c>
      <x:c r="K41" s="48" t="n">
        <x:v>52857.09</x:v>
      </x:c>
      <x:c r="L41" s="46" t="n">
        <x:v>23</x:v>
      </x:c>
    </x:row>
    <x:row r="42">
      <x:c r="A42" t="str">
        <x:v>LT-2020-039</x:v>
      </x:c>
      <x:c r="B42" s="44" t="n">
        <x:v>43938</x:v>
      </x:c>
      <x:c r="C42" t="str">
        <x:v>Bogotá</x:v>
      </x:c>
      <x:c r="D42" t="str">
        <x:v>Colombia</x:v>
      </x:c>
      <x:c r="E42" t="str">
        <x:v>RAM-16-V</x:v>
      </x:c>
      <x:c r="F42" t="str">
        <x:v>RAM</x:v>
      </x:c>
      <x:c r="G42" t="str">
        <x:v>L4 | Noche</x:v>
      </x:c>
      <x:c r="H42" t="str">
        <x:v>Diego Salazar</x:v>
      </x:c>
      <x:c r="I42" s="46" t="n">
        <x:v>1506</x:v>
      </x:c>
      <x:c r="J42" s="48" t="n">
        <x:v>31.93</x:v>
      </x:c>
      <x:c r="K42" s="48" t="n">
        <x:v>48086.58</x:v>
      </x:c>
      <x:c r="L42" s="46" t="n">
        <x:v>36</x:v>
      </x:c>
    </x:row>
    <x:row r="43">
      <x:c r="A43" t="str">
        <x:v>LT-2020-040</x:v>
      </x:c>
      <x:c r="B43" s="44" t="str">
        <x:v>28/05/2020</x:v>
      </x:c>
      <x:c r="C43" t="str">
        <x:v>Lima</x:v>
      </x:c>
      <x:c r="D43" t="str">
        <x:v>Perú</x:v>
      </x:c>
      <x:c r="E43" t="str">
        <x:v>SSD-512-N</x:v>
      </x:c>
      <x:c r="F43" t="str">
        <x:v>SSD</x:v>
      </x:c>
      <x:c r="G43" t="str">
        <x:v>L1 | Tarde</x:v>
      </x:c>
      <x:c r="H43" t="str">
        <x:v>CARLA RIBEIRO</x:v>
      </x:c>
      <x:c r="I43" s="46" t="n">
        <x:v>1643</x:v>
      </x:c>
      <x:c r="J43" s="48" t="n">
        <x:v>36.66</x:v>
      </x:c>
      <x:c r="K43" s="48"/>
      <x:c r="L43" s="46" t="n">
        <x:v>51</x:v>
      </x:c>
    </x:row>
    <x:row r="44">
      <x:c r="A44" t="str">
        <x:v>LT-2020-041</x:v>
      </x:c>
      <x:c r="B44" s="44" t="n">
        <x:v>44019</x:v>
      </x:c>
      <x:c r="C44" t="str">
        <x:v>São Paulo</x:v>
      </x:c>
      <x:c r="D44" t="str">
        <x:v>Brasil</x:v>
      </x:c>
      <x:c r="E44" t="str">
        <x:v>RAM-16-V</x:v>
      </x:c>
      <x:c r="F44" t="str">
        <x:v>RAM</x:v>
      </x:c>
      <x:c r="G44" t="str">
        <x:v>L2 | Mañana</x:v>
      </x:c>
      <x:c r="H44" t="str">
        <x:v>Carla Ribeiro</x:v>
      </x:c>
      <x:c r="I44" s="46" t="n">
        <x:v>1780</x:v>
      </x:c>
      <x:c r="J44" s="48" t="n">
        <x:v>30.38</x:v>
      </x:c>
      <x:c r="K44" s="48" t="n">
        <x:v>54076.4</x:v>
      </x:c>
      <x:c r="L44" s="46" t="n">
        <x:v>12</x:v>
      </x:c>
    </x:row>
    <x:row r="45">
      <x:c r="A45" t="str">
        <x:v>LT-2020-042</x:v>
      </x:c>
      <x:c r="B45" s="44" t="n">
        <x:v>44060</x:v>
      </x:c>
      <x:c r="C45" t="str">
        <x:v>San José</x:v>
      </x:c>
      <x:c r="D45" t="str">
        <x:v>Costa Rica</x:v>
      </x:c>
      <x:c r="E45" t="str">
        <x:v>SSD-512-N</x:v>
      </x:c>
      <x:c r="F45" t="str">
        <x:v>SSD</x:v>
      </x:c>
      <x:c r="G45" t="str">
        <x:v>L3 | Noche</x:v>
      </x:c>
      <x:c r="H45" t="str">
        <x:v>Luis Mendoza</x:v>
      </x:c>
      <x:c r="I45" s="46" t="n">
        <x:v>817</x:v>
      </x:c>
      <x:c r="J45" s="48" t="n">
        <x:v>39.78</x:v>
      </x:c>
      <x:c r="K45" s="48" t="n">
        <x:v>32500.26</x:v>
      </x:c>
      <x:c r="L45" s="46" t="n">
        <x:v>11</x:v>
      </x:c>
    </x:row>
    <x:row r="46">
      <x:c r="A46" t="str">
        <x:v>LT-2020-043</x:v>
      </x:c>
      <x:c r="B46" s="44" t="n">
        <x:v>44101</x:v>
      </x:c>
      <x:c r="C46" t="str">
        <x:v>Monterrey</x:v>
      </x:c>
      <x:c r="D46" t="str">
        <x:v>México</x:v>
      </x:c>
      <x:c r="E46" t="str">
        <x:v>HDD-1TB-A</x:v>
      </x:c>
      <x:c r="F46" t="str">
        <x:v>HDD</x:v>
      </x:c>
      <x:c r="G46" t="str">
        <x:v>L4 | Tarde</x:v>
      </x:c>
      <x:c r="H46" t="str">
        <x:v>Ana Torres</x:v>
      </x:c>
      <x:c r="I46" s="46" t="n">
        <x:v>954</x:v>
      </x:c>
      <x:c r="J46" s="48" t="n">
        <x:v>33.39</x:v>
      </x:c>
      <x:c r="K46" s="48" t="n">
        <x:v>31854.06</x:v>
      </x:c>
      <x:c r="L46" s="46" t="n">
        <x:v>20</x:v>
      </x:c>
    </x:row>
    <x:row r="47">
      <x:c r="A47" t="str">
        <x:v>LT-2020-044</x:v>
      </x:c>
      <x:c r="B47" s="44" t="n">
        <x:v>44141</x:v>
      </x:c>
      <x:c r="C47" t="str">
        <x:v>Guadalajara</x:v>
      </x:c>
      <x:c r="D47" t="str">
        <x:v>México</x:v>
      </x:c>
      <x:c r="E47" t="str">
        <x:v>SSD-1TB-N</x:v>
      </x:c>
      <x:c r="F47" t="str">
        <x:v>SSD</x:v>
      </x:c>
      <x:c r="G47" t="str">
        <x:v>L1 | Mañana</x:v>
      </x:c>
      <x:c r="H47" t="str">
        <x:v>Sofía Herrera</x:v>
      </x:c>
      <x:c r="I47" s="46" t="n">
        <x:v>1091</x:v>
      </x:c>
      <x:c r="J47" s="48" t="n">
        <x:v>60.14</x:v>
      </x:c>
      <x:c r="K47" s="48" t="n">
        <x:v>65612.74</x:v>
      </x:c>
      <x:c r="L47" s="46" t="n">
        <x:v>31</x:v>
      </x:c>
    </x:row>
    <x:row r="48">
      <x:c r="A48" t="str">
        <x:v>LT-2020-045</x:v>
      </x:c>
      <x:c r="B48" s="44" t="n">
        <x:v>44182</x:v>
      </x:c>
      <x:c r="C48" t="str">
        <x:v>Bogotá</x:v>
      </x:c>
      <x:c r="D48" t="str">
        <x:v>Colombia</x:v>
      </x:c>
      <x:c r="E48" t="str">
        <x:v>HDD-1TB-A</x:v>
      </x:c>
      <x:c r="F48" t="str">
        <x:v>HDD</x:v>
      </x:c>
      <x:c r="G48" t="str">
        <x:v>L2 | Noche</x:v>
      </x:c>
      <x:c r="H48" t="str">
        <x:v>Sofía Herrera</x:v>
      </x:c>
      <x:c r="I48" s="46" t="n">
        <x:v>1228</x:v>
      </x:c>
      <x:c r="J48" s="48" t="n">
        <x:v>31.82</x:v>
      </x:c>
      <x:c r="K48" s="48" t="n">
        <x:v>39074.96</x:v>
      </x:c>
      <x:c r="L48" s="46" t="n">
        <x:v>43</x:v>
      </x:c>
    </x:row>
    <x:row r="49">
      <x:c r="A49" t="str">
        <x:v>LT-2020-046</x:v>
      </x:c>
      <x:c r="B49" s="44" t="n">
        <x:v>43863</x:v>
      </x:c>
      <x:c r="C49" t="str">
        <x:v>Lima</x:v>
      </x:c>
      <x:c r="D49" t="str">
        <x:v>Perú</x:v>
      </x:c>
      <x:c r="E49" t="str">
        <x:v>SSD-1TB-N</x:v>
      </x:c>
      <x:c r="F49" t="str">
        <x:v>SSD</x:v>
      </x:c>
      <x:c r="G49" t="str">
        <x:v>L3 | Tarde</x:v>
      </x:c>
      <x:c r="H49" t="str">
        <x:v>Paula Ferreira</x:v>
      </x:c>
      <x:c r="I49" s="46" t="n">
        <x:v>1365</x:v>
      </x:c>
      <x:c r="J49" s="48" t="n">
        <x:v>65.1</x:v>
      </x:c>
      <x:c r="K49" s="48" t="n">
        <x:v>88861.5</x:v>
      </x:c>
      <x:c r="L49" s="46" t="n">
        <x:v>15</x:v>
      </x:c>
    </x:row>
    <x:row r="50">
      <x:c r="A50" t="str">
        <x:v>LT-2020-047</x:v>
      </x:c>
      <x:c r="B50" s="44" t="n">
        <x:v>43903</x:v>
      </x:c>
      <x:c r="C50" t="str">
        <x:v>São Paulo</x:v>
      </x:c>
      <x:c r="D50" t="str">
        <x:v>BRASIL </x:v>
      </x:c>
      <x:c r="E50" t="str">
        <x:v>HDD-1TB-A</x:v>
      </x:c>
      <x:c r="F50" t="str">
        <x:v>HDD</x:v>
      </x:c>
      <x:c r="G50" t="str">
        <x:v>L4 | Mañana</x:v>
      </x:c>
      <x:c r="H50" t="str">
        <x:v>Jorge Castillo</x:v>
      </x:c>
      <x:c r="I50" s="46" t="n">
        <x:v>1502</x:v>
      </x:c>
      <x:c r="J50" s="48" t="str">
        <x:v>30.24</x:v>
      </x:c>
      <x:c r="K50" s="48" t="n">
        <x:v>45420.48</x:v>
      </x:c>
      <x:c r="L50" s="46"/>
    </x:row>
    <x:row r="51">
      <x:c r="A51" t="str">
        <x:v>LT-2020-048</x:v>
      </x:c>
      <x:c r="B51" s="44" t="n">
        <x:v>43944</x:v>
      </x:c>
      <x:c r="C51" t="str">
        <x:v>San José</x:v>
      </x:c>
      <x:c r="D51" t="str">
        <x:v>Costa Rica</x:v>
      </x:c>
      <x:c r="E51" t="str">
        <x:v>SSD-1TB-N</x:v>
      </x:c>
      <x:c r="F51" t="str">
        <x:v>SSD</x:v>
      </x:c>
      <x:c r="G51" t="str">
        <x:v>L1 | Noche</x:v>
      </x:c>
      <x:c r="H51" t="str">
        <x:v>Mariana Gómez</x:v>
      </x:c>
      <x:c r="I51" s="46" t="n">
        <x:v>1639</x:v>
      </x:c>
      <x:c r="J51" s="48" t="n">
        <x:v>62</x:v>
      </x:c>
      <x:c r="K51" s="48" t="n">
        <x:v>101618</x:v>
      </x:c>
      <x:c r="L51" s="46" t="n">
        <x:v>41</x:v>
      </x:c>
    </x:row>
    <x:row r="52">
      <x:c r="A52" t="str">
        <x:v>LT-2020-049</x:v>
      </x:c>
      <x:c r="B52" s="44" t="n">
        <x:v>43985</x:v>
      </x:c>
      <x:c r="C52" t="str">
        <x:v>Monterrey</x:v>
      </x:c>
      <x:c r="D52" t="str">
        <x:v>México</x:v>
      </x:c>
      <x:c r="E52" t="str">
        <x:v>HDD-1TB-A</x:v>
      </x:c>
      <x:c r="F52" t="str">
        <x:v>HDD</x:v>
      </x:c>
      <x:c r="G52" t="str">
        <x:v>L2 | Tarde</x:v>
      </x:c>
      <x:c r="H52" t="str">
        <x:v>Mariana Gómez</x:v>
      </x:c>
      <x:c r="I52" s="46" t="n">
        <x:v>1776</x:v>
      </x:c>
      <x:c r="J52" s="48" t="n">
        <x:v>32.76</x:v>
      </x:c>
      <x:c r="K52" s="48" t="n">
        <x:v>58181.76</x:v>
      </x:c>
      <x:c r="L52" s="46" t="n">
        <x:v>57</x:v>
      </x:c>
    </x:row>
    <x:row r="53">
      <x:c r="A53" t="str">
        <x:v>LT-2020-050</x:v>
      </x:c>
      <x:c r="B53" s="44" t="n">
        <x:v>44025</x:v>
      </x:c>
      <x:c r="C53" t="str">
        <x:v>Guadalajara</x:v>
      </x:c>
      <x:c r="D53" t="str">
        <x:v>México</x:v>
      </x:c>
      <x:c r="E53" t="str">
        <x:v>RAM-8-V</x:v>
      </x:c>
      <x:c r="F53" t="str">
        <x:v>RAM</x:v>
      </x:c>
      <x:c r="G53" t="str">
        <x:v>L3 | Mañana</x:v>
      </x:c>
      <x:c r="H53" t="str">
        <x:v>Diego Salazar</x:v>
      </x:c>
      <x:c r="I53" s="46" t="n">
        <x:v>813</x:v>
      </x:c>
      <x:c r="J53" s="48" t="n">
        <x:v>17.57</x:v>
      </x:c>
      <x:c r="K53" s="48" t="n">
        <x:v>14284.41</x:v>
      </x:c>
      <x:c r="L53" s="46" t="n">
        <x:v>7</x:v>
      </x:c>
    </x:row>
    <x:row r="54">
      <x:c r="A54" t="str">
        <x:v>LT-2020-051</x:v>
      </x:c>
      <x:c r="B54" s="44" t="n">
        <x:v>44066</x:v>
      </x:c>
      <x:c r="C54" t="str">
        <x:v>Bogotá</x:v>
      </x:c>
      <x:c r="D54" t="str">
        <x:v>Colombia</x:v>
      </x:c>
      <x:c r="E54" t="str">
        <x:v>HDD-2TB-B</x:v>
      </x:c>
      <x:c r="F54" t="str">
        <x:v>HDD</x:v>
      </x:c>
      <x:c r="G54" t="str">
        <x:v>L4 | Noche</x:v>
      </x:c>
      <x:c r="H54" t="str">
        <x:v>Carla Ribeiro</x:v>
      </x:c>
      <x:c r="I54" s="46" t="n">
        <x:v>950</x:v>
      </x:c>
      <x:c r="J54" s="48" t="n">
        <x:v>44.55</x:v>
      </x:c>
      <x:c r="K54" s="48" t="n">
        <x:v>42322.5</x:v>
      </x:c>
      <x:c r="L54" s="46" t="n">
        <x:v>14</x:v>
      </x:c>
    </x:row>
    <x:row r="55">
      <x:c r="A55" t="str">
        <x:v>LT-2020-052</x:v>
      </x:c>
      <x:c r="B55" s="44" t="n">
        <x:v>44107</x:v>
      </x:c>
      <x:c r="C55" t="str">
        <x:v>Lima</x:v>
      </x:c>
      <x:c r="D55" t="str">
        <x:v>Perú</x:v>
      </x:c>
      <x:c r="E55" t="str">
        <x:v>RAM-8-V</x:v>
      </x:c>
      <x:c r="F55" t="str">
        <x:v>RAM</x:v>
      </x:c>
      <x:c r="G55" t="str">
        <x:v>L1 | Tarde</x:v>
      </x:c>
      <x:c r="H55" t="str">
        <x:v>Luis Mendoza</x:v>
      </x:c>
      <x:c r="I55" s="46" t="n">
        <x:v>1087</x:v>
      </x:c>
      <x:c r="J55" s="48" t="n">
        <x:v>19.05</x:v>
      </x:c>
      <x:c r="K55" s="48" t="n">
        <x:v>20707.35</x:v>
      </x:c>
      <x:c r="L55" s="46" t="n">
        <x:v>24</x:v>
      </x:c>
    </x:row>
    <x:row r="56">
      <x:c r="A56" t="str">
        <x:v>LT-2020-053</x:v>
      </x:c>
      <x:c r="B56" s="44" t="n">
        <x:v>44147</x:v>
      </x:c>
      <x:c r="C56" t="str">
        <x:v>São Paulo</x:v>
      </x:c>
      <x:c r="D56" t="str">
        <x:v>Brasil</x:v>
      </x:c>
      <x:c r="E56" t="str">
        <x:v>HDD-2TB-B</x:v>
      </x:c>
      <x:c r="F56" t="str">
        <x:v>HDD</x:v>
      </x:c>
      <x:c r="G56" t="str">
        <x:v>L2 | Mañana</x:v>
      </x:c>
      <x:c r="H56" t="str">
        <x:v>Luis Mendoza</x:v>
      </x:c>
      <x:c r="I56" s="46" t="n">
        <x:v>1224</x:v>
      </x:c>
      <x:c r="J56" s="48" t="n">
        <x:v>42.3</x:v>
      </x:c>
      <x:c r="K56" s="48" t="n">
        <x:v>51775.2</x:v>
      </x:c>
      <x:c r="L56" s="46" t="n">
        <x:v>35</x:v>
      </x:c>
    </x:row>
    <x:row r="57">
      <x:c r="A57" t="str">
        <x:v>LT-2020-054</x:v>
      </x:c>
      <x:c r="B57" s="44" t="str">
        <x:v>2020/12/23</x:v>
      </x:c>
      <x:c r="C57" t="str">
        <x:v>SJO</x:v>
      </x:c>
      <x:c r="D57" t="str">
        <x:v>Costa Rica</x:v>
      </x:c>
      <x:c r="E57" t="str">
        <x:v>RAM-8-V</x:v>
      </x:c>
      <x:c r="F57" t="str">
        <x:v>RAM</x:v>
      </x:c>
      <x:c r="G57" t="str">
        <x:v>L3 | Noche</x:v>
      </x:c>
      <x:c r="H57" t="str">
        <x:v>Ana Torres</x:v>
      </x:c>
      <x:c r="I57" s="46" t="n">
        <x:v>1361</x:v>
      </x:c>
      <x:c r="J57" s="48" t="n">
        <x:v>18.13</x:v>
      </x:c>
      <x:c r="K57" s="48" t="n">
        <x:v>24674.93</x:v>
      </x:c>
      <x:c r="L57" s="46" t="n">
        <x:v>49</x:v>
      </x:c>
    </x:row>
    <x:row r="58">
      <x:c r="A58" t="str">
        <x:v>LT-2020-055</x:v>
      </x:c>
      <x:c r="B58" s="44" t="n">
        <x:v>43869</x:v>
      </x:c>
      <x:c r="C58" t="str">
        <x:v>Monterrey</x:v>
      </x:c>
      <x:c r="D58" t="str">
        <x:v>México</x:v>
      </x:c>
      <x:c r="E58" t="str">
        <x:v>HDD-2TB-B</x:v>
      </x:c>
      <x:c r="F58" t="str">
        <x:v>HDD</x:v>
      </x:c>
      <x:c r="G58" t="str">
        <x:v>L4 | Tarde</x:v>
      </x:c>
      <x:c r="H58" t="str">
        <x:v>Sofía Herrera</x:v>
      </x:c>
      <x:c r="I58" s="46" t="n">
        <x:v>1498</x:v>
      </x:c>
      <x:c r="J58" s="48" t="n">
        <x:v>45.9</x:v>
      </x:c>
      <x:c r="K58" s="48" t="n">
        <x:v>68758.2</x:v>
      </x:c>
      <x:c r="L58" s="46" t="n">
        <x:v>18</x:v>
      </x:c>
    </x:row>
    <x:row r="59">
      <x:c r="A59" t="str">
        <x:v>LT-2020-056</x:v>
      </x:c>
      <x:c r="B59" s="44" t="n">
        <x:v>43909</x:v>
      </x:c>
      <x:c r="C59" t="str">
        <x:v>Guadalajara</x:v>
      </x:c>
      <x:c r="D59" t="str">
        <x:v>México</x:v>
      </x:c>
      <x:c r="E59" t="str">
        <x:v>RAM-8-V</x:v>
      </x:c>
      <x:c r="F59" t="str">
        <x:v>RAM</x:v>
      </x:c>
      <x:c r="G59" t="str">
        <x:v>L1 | Mañana</x:v>
      </x:c>
      <x:c r="H59" t="str">
        <x:v>Paula Ferreira</x:v>
      </x:c>
      <x:c r="I59" s="46" t="n">
        <x:v>1635</x:v>
      </x:c>
      <x:c r="J59" s="48" t="n">
        <x:v>19.61</x:v>
      </x:c>
      <x:c r="K59" s="48" t="n">
        <x:v>32062.35</x:v>
      </x:c>
      <x:c r="L59" s="46" t="n">
        <x:v>31</x:v>
      </x:c>
    </x:row>
    <x:row r="60">
      <x:c r="A60" t="str">
        <x:v>LT-2020-057</x:v>
      </x:c>
      <x:c r="B60" s="44" t="n">
        <x:v>43950</x:v>
      </x:c>
      <x:c r="C60" t="str">
        <x:v>Bogotá</x:v>
      </x:c>
      <x:c r="D60" t="str">
        <x:v>Colombia</x:v>
      </x:c>
      <x:c r="E60" t="str">
        <x:v>SSD-512-N</x:v>
      </x:c>
      <x:c r="F60" t="str">
        <x:v>SSD</x:v>
      </x:c>
      <x:c r="G60" t="str">
        <x:v>L2 | Noche</x:v>
      </x:c>
      <x:c r="H60" t="str">
        <x:v>Paula Ferreira</x:v>
      </x:c>
      <x:c r="I60" s="46" t="n">
        <x:v>1772</x:v>
      </x:c>
      <x:c r="J60" s="48" t="n">
        <x:v>37.83</x:v>
      </x:c>
      <x:c r="K60" s="48" t="n">
        <x:v>67034.76</x:v>
      </x:c>
      <x:c r="L60" s="46" t="n">
        <x:v>46</x:v>
      </x:c>
    </x:row>
    <x:row r="61">
      <x:c r="A61" t="str">
        <x:v>LT-2020-058</x:v>
      </x:c>
      <x:c r="B61" s="44" t="n">
        <x:v>43991</x:v>
      </x:c>
      <x:c r="C61" t="str">
        <x:v>Lima</x:v>
      </x:c>
      <x:c r="D61" t="str">
        <x:v>Perú</x:v>
      </x:c>
      <x:c r="E61" t="str">
        <x:v>RAM-16-V</x:v>
      </x:c>
      <x:c r="F61" t="str">
        <x:v>RAM</x:v>
      </x:c>
      <x:c r="G61" t="str">
        <x:v>L3 | Tarde</x:v>
      </x:c>
      <x:c r="H61" t="str">
        <x:v>Jorge Castillo</x:v>
      </x:c>
      <x:c r="I61" s="46" t="n">
        <x:v>809</x:v>
      </x:c>
      <x:c r="J61" s="48" t="n">
        <x:v>31.31</x:v>
      </x:c>
      <x:c r="K61" s="48" t="n">
        <x:v>25329.79</x:v>
      </x:c>
      <x:c r="L61" s="46" t="n">
        <x:v>27</x:v>
      </x:c>
    </x:row>
    <x:row r="62">
      <x:c r="A62" t="str">
        <x:v>LT-2020-059</x:v>
      </x:c>
      <x:c r="B62" s="44" t="n">
        <x:v>44031</x:v>
      </x:c>
      <x:c r="C62" t="str">
        <x:v>São Paulo</x:v>
      </x:c>
      <x:c r="D62" t="str">
        <x:v>Brasil</x:v>
      </x:c>
      <x:c r="E62" t="str">
        <x:v>SSD-512-N</x:v>
      </x:c>
      <x:c r="F62" t="str">
        <x:v>SSD</x:v>
      </x:c>
      <x:c r="G62" t="str">
        <x:v>L4 | Mañana</x:v>
      </x:c>
      <x:c r="H62" t="str">
        <x:v>Mariana Gómez</x:v>
      </x:c>
      <x:c r="I62" s="46" t="n">
        <x:v>946</x:v>
      </x:c>
      <x:c r="J62" s="48" t="n">
        <x:v>40.95</x:v>
      </x:c>
      <x:c r="K62" s="48" t="n">
        <x:v>38738.7</x:v>
      </x:c>
      <x:c r="L62" s="46" t="n">
        <x:v>9</x:v>
      </x:c>
    </x:row>
    <x:row r="63">
      <x:c r="A63" t="str">
        <x:v>LT-2020-060</x:v>
      </x:c>
      <x:c r="B63" s="44" t="n">
        <x:v>44072</x:v>
      </x:c>
      <x:c r="C63" t="str">
        <x:v>San José</x:v>
      </x:c>
      <x:c r="D63" t="str">
        <x:v>Costa Rica</x:v>
      </x:c>
      <x:c r="E63" t="str">
        <x:v>RAM-16-V</x:v>
      </x:c>
      <x:c r="F63" t="str">
        <x:v>RAM</x:v>
      </x:c>
      <x:c r="G63" t="str">
        <x:v>L1 | Noche</x:v>
      </x:c>
      <x:c r="H63" t="str">
        <x:v>Diego Salazar</x:v>
      </x:c>
      <x:c r="I63" s="46" t="n">
        <x:v>1083</x:v>
      </x:c>
      <x:c r="J63" s="48" t="n">
        <x:v>29.76</x:v>
      </x:c>
      <x:c r="K63" s="48" t="n">
        <x:v>32230.08</x:v>
      </x:c>
      <x:c r="L63" s="46" t="n">
        <x:v>17</x:v>
      </x:c>
    </x:row>
    <x:row r="64">
      <x:c r="A64" t="str">
        <x:v>LT-2020-061</x:v>
      </x:c>
      <x:c r="B64" s="44" t="n">
        <x:v>44113</x:v>
      </x:c>
      <x:c r="C64" t="str">
        <x:v>Monterrey</x:v>
      </x:c>
      <x:c r="D64" t="str">
        <x:v>México</x:v>
      </x:c>
      <x:c r="E64" t="str">
        <x:v>SSD-512-N</x:v>
      </x:c>
      <x:c r="F64" t="str">
        <x:v>solid state</x:v>
      </x:c>
      <x:c r="G64" t="str">
        <x:v>L2 | Tarde</x:v>
      </x:c>
      <x:c r="H64" t="str">
        <x:v>Diego Salazar</x:v>
      </x:c>
      <x:c r="I64" s="46" t="str">
        <x:v>1220</x:v>
      </x:c>
      <x:c r="J64" s="48"/>
      <x:c r="K64" s="48" t="n">
        <x:v>47580</x:v>
      </x:c>
      <x:c r="L64" s="46" t="n">
        <x:v>28</x:v>
      </x:c>
    </x:row>
    <x:row r="65">
      <x:c r="A65" t="str">
        <x:v>LT-2020-062</x:v>
      </x:c>
      <x:c r="B65" s="44" t="n">
        <x:v>44153</x:v>
      </x:c>
      <x:c r="C65" t="str">
        <x:v>Guadalajara</x:v>
      </x:c>
      <x:c r="D65" t="str">
        <x:v>México</x:v>
      </x:c>
      <x:c r="E65" t="str">
        <x:v>RAM-16-V</x:v>
      </x:c>
      <x:c r="F65" t="str">
        <x:v>RAM</x:v>
      </x:c>
      <x:c r="G65" t="str">
        <x:v>L3 | Mañana</x:v>
      </x:c>
      <x:c r="H65" t="str">
        <x:v>Carla Ribeiro</x:v>
      </x:c>
      <x:c r="I65" s="46" t="n">
        <x:v>1357</x:v>
      </x:c>
      <x:c r="J65" s="48" t="n">
        <x:v>32.24</x:v>
      </x:c>
      <x:c r="K65" s="48" t="n">
        <x:v>43749.68</x:v>
      </x:c>
      <x:c r="L65" s="46" t="n">
        <x:v>41</x:v>
      </x:c>
    </x:row>
    <x:row r="66">
      <x:c r="A66" t="str">
        <x:v>LT-2020-063</x:v>
      </x:c>
      <x:c r="B66" s="44" t="n">
        <x:v>43834</x:v>
      </x:c>
      <x:c r="C66" t="str">
        <x:v>Bogotá</x:v>
      </x:c>
      <x:c r="D66" t="str">
        <x:v>Colombia</x:v>
      </x:c>
      <x:c r="E66" t="str">
        <x:v>SSD-512-N</x:v>
      </x:c>
      <x:c r="F66" t="str">
        <x:v>SSD</x:v>
      </x:c>
      <x:c r="G66" t="str">
        <x:v>L4 | Noche</x:v>
      </x:c>
      <x:c r="H66" t="str">
        <x:v>Luis Mendoza</x:v>
      </x:c>
      <x:c r="I66" s="46" t="n">
        <x:v>1494</x:v>
      </x:c>
      <x:c r="J66" s="48" t="n">
        <x:v>37.05</x:v>
      </x:c>
      <x:c r="K66" s="48" t="n">
        <x:v>55352.7</x:v>
      </x:c>
      <x:c r="L66" s="46" t="n">
        <x:v>9</x:v>
      </x:c>
    </x:row>
    <x:row r="67">
      <x:c r="A67" t="str">
        <x:v>LT-2020-064</x:v>
      </x:c>
      <x:c r="B67" s="44" t="n">
        <x:v>43875</x:v>
      </x:c>
      <x:c r="C67" t="str">
        <x:v>Lima</x:v>
      </x:c>
      <x:c r="D67" t="str">
        <x:v>Perú</x:v>
      </x:c>
      <x:c r="E67" t="str">
        <x:v>HDD-1TB-A</x:v>
      </x:c>
      <x:c r="F67" t="str">
        <x:v>HDD</x:v>
      </x:c>
      <x:c r="G67" t="str">
        <x:v>L1 | Tarde</x:v>
      </x:c>
      <x:c r="H67" t="str">
        <x:v>Ana Torres</x:v>
      </x:c>
      <x:c r="I67" s="46" t="n">
        <x:v>1631</x:v>
      </x:c>
      <x:c r="J67" s="48" t="n">
        <x:v>31.18</x:v>
      </x:c>
      <x:c r="K67" s="48" t="n">
        <x:v>50854.58</x:v>
      </x:c>
      <x:c r="L67" s="46" t="n">
        <x:v>21</x:v>
      </x:c>
    </x:row>
    <x:row r="68">
      <x:c r="A68" t="str">
        <x:v>LT-2020-065</x:v>
      </x:c>
      <x:c r="B68" s="44" t="n">
        <x:v>43915</x:v>
      </x:c>
      <x:c r="C68" t="str">
        <x:v>São Paulo</x:v>
      </x:c>
      <x:c r="D68" t="str">
        <x:v>Brasil</x:v>
      </x:c>
      <x:c r="E68" t="str">
        <x:v>SSD-1TB-N</x:v>
      </x:c>
      <x:c r="F68" t="str">
        <x:v>SSD</x:v>
      </x:c>
      <x:c r="G68" t="str">
        <x:v>L2 | Mañana</x:v>
      </x:c>
      <x:c r="H68" t="str">
        <x:v>Ana Torres</x:v>
      </x:c>
      <x:c r="I68" s="46" t="n">
        <x:v>1768</x:v>
      </x:c>
      <x:c r="J68" s="48" t="n">
        <x:v>63.86</x:v>
      </x:c>
      <x:c r="K68" s="48" t="n">
        <x:v>112904.48</x:v>
      </x:c>
      <x:c r="L68" s="46" t="n">
        <x:v>35</x:v>
      </x:c>
    </x:row>
    <x:row r="69">
      <x:c r="A69" t="str">
        <x:v>LT-2020-066</x:v>
      </x:c>
      <x:c r="B69" s="44" t="n">
        <x:v>43956</x:v>
      </x:c>
      <x:c r="C69" t="str">
        <x:v>San José</x:v>
      </x:c>
      <x:c r="D69" t="str">
        <x:v>Costa Rica</x:v>
      </x:c>
      <x:c r="E69" t="str">
        <x:v>HDD-1TB-A</x:v>
      </x:c>
      <x:c r="F69" t="str">
        <x:v>HDD</x:v>
      </x:c>
      <x:c r="G69" t="str">
        <x:v>L3 | Noche</x:v>
      </x:c>
      <x:c r="H69" t="str">
        <x:v>Sofía Herrera</x:v>
      </x:c>
      <x:c r="I69" s="46" t="n">
        <x:v>805</x:v>
      </x:c>
      <x:c r="J69" s="48" t="n">
        <x:v>29.61</x:v>
      </x:c>
      <x:c r="K69" s="48" t="n">
        <x:v>23836.05</x:v>
      </x:c>
      <x:c r="L69" s="46" t="n">
        <x:v>22</x:v>
      </x:c>
    </x:row>
    <x:row r="70">
      <x:c r="A70" t="str">
        <x:v>LT-2020-067</x:v>
      </x:c>
      <x:c r="B70" s="44" t="n">
        <x:v>43997</x:v>
      </x:c>
      <x:c r="C70" t="str">
        <x:v>Monterrey</x:v>
      </x:c>
      <x:c r="D70" t="str">
        <x:v>México</x:v>
      </x:c>
      <x:c r="E70" t="str">
        <x:v>SSD-1TB-N</x:v>
      </x:c>
      <x:c r="F70" t="str">
        <x:v>SSD</x:v>
      </x:c>
      <x:c r="G70" t="str">
        <x:v>L4 | Tarde</x:v>
      </x:c>
      <x:c r="H70" t="str">
        <x:v>Paula Ferreira</x:v>
      </x:c>
      <x:c r="I70" s="46" t="n">
        <x:v>942</x:v>
      </x:c>
      <x:c r="J70" s="48" t="n">
        <x:v>60.76</x:v>
      </x:c>
      <x:c r="K70" s="48" t="n">
        <x:v>57235.92</x:v>
      </x:c>
      <x:c r="L70" s="46" t="n">
        <x:v>32</x:v>
      </x:c>
    </x:row>
    <x:row r="71">
      <x:c r="A71" t="str">
        <x:v>LT-2020-068</x:v>
      </x:c>
      <x:c r="B71" s="44" t="str">
        <x:v>25-07-2020</x:v>
      </x:c>
      <x:c r="C71" t="str">
        <x:v>GDL</x:v>
      </x:c>
      <x:c r="D71" t="str">
        <x:v>México</x:v>
      </x:c>
      <x:c r="E71" t="str">
        <x:v>hdd-1tb-a</x:v>
      </x:c>
      <x:c r="F71" t="str">
        <x:v>HDD</x:v>
      </x:c>
      <x:c r="G71" t="str">
        <x:v>L1 | Mañana</x:v>
      </x:c>
      <x:c r="H71" t="str">
        <x:v>Jorge Castillo</x:v>
      </x:c>
      <x:c r="I71" s="46" t="n">
        <x:v>1079</x:v>
      </x:c>
      <x:c r="J71" s="48" t="n">
        <x:v>32.13</x:v>
      </x:c>
      <x:c r="K71" s="48"/>
      <x:c r="L71" s="46" t="n">
        <x:v>11</x:v>
      </x:c>
    </x:row>
    <x:row r="72">
      <x:c r="A72" t="str">
        <x:v>LT-2020-069</x:v>
      </x:c>
      <x:c r="B72" s="44" t="n">
        <x:v>44078</x:v>
      </x:c>
      <x:c r="C72" t="str">
        <x:v>Bogotá</x:v>
      </x:c>
      <x:c r="D72" t="str">
        <x:v>Colombia</x:v>
      </x:c>
      <x:c r="E72" t="str">
        <x:v>SSD-1TB-N</x:v>
      </x:c>
      <x:c r="F72" t="str">
        <x:v>SSD</x:v>
      </x:c>
      <x:c r="G72" t="str">
        <x:v>L2 | Noche</x:v>
      </x:c>
      <x:c r="H72" t="str">
        <x:v>Jorge Castillo</x:v>
      </x:c>
      <x:c r="I72" s="46" t="n">
        <x:v>1216</x:v>
      </x:c>
      <x:c r="J72" s="48" t="n">
        <x:v>65.72</x:v>
      </x:c>
      <x:c r="K72" s="48" t="n">
        <x:v>79915.52</x:v>
      </x:c>
      <x:c r="L72" s="46" t="n">
        <x:v>21</x:v>
      </x:c>
    </x:row>
    <x:row r="73">
      <x:c r="A73" t="str">
        <x:v>LT-2020-070</x:v>
      </x:c>
      <x:c r="B73" s="44" t="n">
        <x:v>44119</x:v>
      </x:c>
      <x:c r="C73" t="str">
        <x:v>Lima</x:v>
      </x:c>
      <x:c r="D73" t="str">
        <x:v>Perú</x:v>
      </x:c>
      <x:c r="E73" t="str">
        <x:v>HDD-1TB-A</x:v>
      </x:c>
      <x:c r="F73" t="str">
        <x:v>HDD</x:v>
      </x:c>
      <x:c r="G73" t="str">
        <x:v>L3 | Tarde</x:v>
      </x:c>
      <x:c r="H73" t="str">
        <x:v>Mariana Gómez</x:v>
      </x:c>
      <x:c r="I73" s="46" t="n">
        <x:v>1353</x:v>
      </x:c>
      <x:c r="J73" s="48" t="n">
        <x:v>30.55</x:v>
      </x:c>
      <x:c r="K73" s="48" t="n">
        <x:v>41334.15</x:v>
      </x:c>
      <x:c r="L73" s="46" t="n">
        <x:v>32</x:v>
      </x:c>
    </x:row>
    <x:row r="74">
      <x:c r="A74" t="str">
        <x:v>LT-2020-071</x:v>
      </x:c>
      <x:c r="B74" s="44" t="n">
        <x:v>44159</x:v>
      </x:c>
      <x:c r="C74" t="str">
        <x:v>São Paulo</x:v>
      </x:c>
      <x:c r="D74" t="str">
        <x:v>Brasil</x:v>
      </x:c>
      <x:c r="E74" t="str">
        <x:v>RAM-8-V</x:v>
      </x:c>
      <x:c r="F74" t="str">
        <x:v>RAM</x:v>
      </x:c>
      <x:c r="G74" t="str">
        <x:v>L4 | Mañana</x:v>
      </x:c>
      <x:c r="H74" t="str">
        <x:v>Diego Salazar</x:v>
      </x:c>
      <x:c r="I74" s="46" t="n">
        <x:v>1490</x:v>
      </x:c>
      <x:c r="J74" s="48" t="n">
        <x:v>18.68</x:v>
      </x:c>
      <x:c r="K74" s="48" t="n">
        <x:v>27833.2</x:v>
      </x:c>
      <x:c r="L74" s="46" t="n">
        <x:v>46</x:v>
      </x:c>
    </x:row>
    <x:row r="75">
      <x:c r="A75" t="str">
        <x:v>LT-2020-072</x:v>
      </x:c>
      <x:c r="B75" s="44" t="n">
        <x:v>43840</x:v>
      </x:c>
      <x:c r="C75" t="str">
        <x:v>San José</x:v>
      </x:c>
      <x:c r="D75" t="str">
        <x:v>Costa Rica</x:v>
      </x:c>
      <x:c r="E75" t="str">
        <x:v>HDD-2TB-B</x:v>
      </x:c>
      <x:c r="F75" t="str">
        <x:v>HDD</x:v>
      </x:c>
      <x:c r="G75" t="str">
        <x:v>L1 | Noche</x:v>
      </x:c>
      <x:c r="H75" t="str">
        <x:v>Carla Ribeiro</x:v>
      </x:c>
      <x:c r="I75" s="46" t="n">
        <x:v>1627</x:v>
      </x:c>
      <x:c r="J75" s="48" t="n">
        <x:v>47.25</x:v>
      </x:c>
      <x:c r="K75" s="48" t="n">
        <x:v>76875.75</x:v>
      </x:c>
      <x:c r="L75" s="46" t="n">
        <x:v>11</x:v>
      </x:c>
    </x:row>
    <x:row r="76">
      <x:c r="A76" t="str">
        <x:v>LT-2020-073</x:v>
      </x:c>
      <x:c r="B76" s="44" t="n">
        <x:v>43881</x:v>
      </x:c>
      <x:c r="C76" t="str">
        <x:v>Monterrey</x:v>
      </x:c>
      <x:c r="D76" t="str">
        <x:v>México</x:v>
      </x:c>
      <x:c r="E76" t="str">
        <x:v>RAM-8-V</x:v>
      </x:c>
      <x:c r="F76" t="str">
        <x:v>RAM</x:v>
      </x:c>
      <x:c r="G76" t="str">
        <x:v>L2 | Tarde</x:v>
      </x:c>
      <x:c r="H76" t="str">
        <x:v>Carla Ribeiro</x:v>
      </x:c>
      <x:c r="I76" s="46" t="n">
        <x:v>1764</x:v>
      </x:c>
      <x:c r="J76" s="48" t="n">
        <x:v>17.76</x:v>
      </x:c>
      <x:c r="K76" s="48" t="n">
        <x:v>31328.64</x:v>
      </x:c>
      <x:c r="L76" s="46" t="n">
        <x:v>25</x:v>
      </x:c>
    </x:row>
    <x:row r="77">
      <x:c r="A77" t="str">
        <x:v>LT-2020-074</x:v>
      </x:c>
      <x:c r="B77" s="44" t="n">
        <x:v>43921</x:v>
      </x:c>
      <x:c r="C77" t="str">
        <x:v>Guadalajara</x:v>
      </x:c>
      <x:c r="D77" t="str">
        <x:v>México</x:v>
      </x:c>
      <x:c r="E77" t="str">
        <x:v>HDD-2TB-B</x:v>
      </x:c>
      <x:c r="F77" t="str">
        <x:v>HDD</x:v>
      </x:c>
      <x:c r="G77" t="str">
        <x:v>L3 | Mañana</x:v>
      </x:c>
      <x:c r="H77" t="str">
        <x:v>Luis Mendoza</x:v>
      </x:c>
      <x:c r="I77" s="46" t="n">
        <x:v>801</x:v>
      </x:c>
      <x:c r="J77" s="48" t="n">
        <x:v>45</x:v>
      </x:c>
      <x:c r="K77" s="48" t="n">
        <x:v>36045</x:v>
      </x:c>
      <x:c r="L77" s="46" t="n">
        <x:v>17</x:v>
      </x:c>
    </x:row>
    <x:row r="78">
      <x:c r="A78" t="str">
        <x:v>LT-2020-075</x:v>
      </x:c>
      <x:c r="B78" s="44" t="n">
        <x:v>43962</x:v>
      </x:c>
      <x:c r="C78" t="str">
        <x:v>Bogotá</x:v>
      </x:c>
      <x:c r="D78" t="str">
        <x:v>Colombia</x:v>
      </x:c>
      <x:c r="E78" t="str">
        <x:v>RAM-8-V</x:v>
      </x:c>
      <x:c r="F78" t="str">
        <x:v>RAM</x:v>
      </x:c>
      <x:c r="G78" t="str">
        <x:v>L4 | Noche</x:v>
      </x:c>
      <x:c r="H78" t="str">
        <x:v>ana torres  </x:v>
      </x:c>
      <x:c r="I78" s="46" t="n">
        <x:v>938</x:v>
      </x:c>
      <x:c r="J78" s="48" t="n">
        <x:v>19.24</x:v>
      </x:c>
      <x:c r="K78" s="48" t="str">
        <x:v>18047.12</x:v>
      </x:c>
      <x:c r="L78" s="46"/>
    </x:row>
    <x:row r="79">
      <x:c r="A79" t="str">
        <x:v>LT-2020-076</x:v>
      </x:c>
      <x:c r="B79" s="44" t="n">
        <x:v>44003</x:v>
      </x:c>
      <x:c r="C79" t="str">
        <x:v>Lima</x:v>
      </x:c>
      <x:c r="D79" t="str">
        <x:v>Perú</x:v>
      </x:c>
      <x:c r="E79" t="str">
        <x:v>HDD-2TB-B</x:v>
      </x:c>
      <x:c r="F79" t="str">
        <x:v>HDD</x:v>
      </x:c>
      <x:c r="G79" t="str">
        <x:v>L1 | Tarde</x:v>
      </x:c>
      <x:c r="H79" t="str">
        <x:v>Sofía Herrera</x:v>
      </x:c>
      <x:c r="I79" s="46" t="n">
        <x:v>1075</x:v>
      </x:c>
      <x:c r="J79" s="48" t="n">
        <x:v>42.75</x:v>
      </x:c>
      <x:c r="K79" s="48" t="n">
        <x:v>45956.25</x:v>
      </x:c>
      <x:c r="L79" s="46" t="n">
        <x:v>38</x:v>
      </x:c>
    </x:row>
    <x:row r="80">
      <x:c r="A80" t="str">
        <x:v>LT-2020-077</x:v>
      </x:c>
      <x:c r="B80" s="44" t="n">
        <x:v>44043</x:v>
      </x:c>
      <x:c r="C80" t="str">
        <x:v>São Paulo</x:v>
      </x:c>
      <x:c r="D80" t="str">
        <x:v>Brasil</x:v>
      </x:c>
      <x:c r="E80" t="str">
        <x:v>RAM-8-V</x:v>
      </x:c>
      <x:c r="F80" t="str">
        <x:v>RAM</x:v>
      </x:c>
      <x:c r="G80" t="str">
        <x:v>L2 | Mañana</x:v>
      </x:c>
      <x:c r="H80" t="str">
        <x:v>Sofía Herrera</x:v>
      </x:c>
      <x:c r="I80" s="46" t="n">
        <x:v>1212</x:v>
      </x:c>
      <x:c r="J80" s="48" t="n">
        <x:v>18.32</x:v>
      </x:c>
      <x:c r="K80" s="48" t="n">
        <x:v>22203.84</x:v>
      </x:c>
      <x:c r="L80" s="46" t="n">
        <x:v>13</x:v>
      </x:c>
    </x:row>
    <x:row r="81">
      <x:c r="A81" t="str">
        <x:v>LT-2020-078</x:v>
      </x:c>
      <x:c r="B81" s="44" t="n">
        <x:v>44084</x:v>
      </x:c>
      <x:c r="C81" t="str">
        <x:v>San José</x:v>
      </x:c>
      <x:c r="D81" t="str">
        <x:v>Costa Rica</x:v>
      </x:c>
      <x:c r="E81" t="str">
        <x:v>SSD-512-N</x:v>
      </x:c>
      <x:c r="F81" t="str">
        <x:v>SSD</x:v>
      </x:c>
      <x:c r="G81" t="str">
        <x:v>L3 | Noche</x:v>
      </x:c>
      <x:c r="H81" t="str">
        <x:v>Paula Ferreira</x:v>
      </x:c>
      <x:c r="I81" s="46" t="n">
        <x:v>1349</x:v>
      </x:c>
      <x:c r="J81" s="48" t="n">
        <x:v>40.17</x:v>
      </x:c>
      <x:c r="K81" s="48" t="n">
        <x:v>54189.33</x:v>
      </x:c>
      <x:c r="L81" s="46" t="n">
        <x:v>24</x:v>
      </x:c>
    </x:row>
    <x:row r="82">
      <x:c r="A82" t="str">
        <x:v>LT-2020-079</x:v>
      </x:c>
      <x:c r="B82" s="44" t="n">
        <x:v>44125</x:v>
      </x:c>
      <x:c r="C82" t="str">
        <x:v>Monterrey</x:v>
      </x:c>
      <x:c r="D82" t="str">
        <x:v>México</x:v>
      </x:c>
      <x:c r="E82" t="str">
        <x:v>RAM-16-V</x:v>
      </x:c>
      <x:c r="F82" t="str">
        <x:v>RAM</x:v>
      </x:c>
      <x:c r="G82" t="str">
        <x:v>L4 | Tarde</x:v>
      </x:c>
      <x:c r="H82" t="str">
        <x:v>Jorge Castillo</x:v>
      </x:c>
      <x:c r="I82" s="46" t="n">
        <x:v>1486</x:v>
      </x:c>
      <x:c r="J82" s="48" t="n">
        <x:v>29.14</x:v>
      </x:c>
      <x:c r="K82" s="48" t="n">
        <x:v>43302.04</x:v>
      </x:c>
      <x:c r="L82" s="46" t="n">
        <x:v>37</x:v>
      </x:c>
    </x:row>
    <x:row r="83">
      <x:c r="A83" t="str">
        <x:v>LT-2020-080</x:v>
      </x:c>
      <x:c r="B83" s="44" t="n">
        <x:v>44165</x:v>
      </x:c>
      <x:c r="C83" t="str">
        <x:v>Guadalajara</x:v>
      </x:c>
      <x:c r="D83" t="str">
        <x:v>México</x:v>
      </x:c>
      <x:c r="E83" t="str">
        <x:v>SSD-512-N</x:v>
      </x:c>
      <x:c r="F83" t="str">
        <x:v>SSD</x:v>
      </x:c>
      <x:c r="G83" t="str">
        <x:v>L1 | Mañana</x:v>
      </x:c>
      <x:c r="H83" t="str">
        <x:v>Mariana Gómez</x:v>
      </x:c>
      <x:c r="I83" s="46" t="n">
        <x:v>1623</x:v>
      </x:c>
      <x:c r="J83" s="48" t="n">
        <x:v>38.22</x:v>
      </x:c>
      <x:c r="K83" s="48" t="n">
        <x:v>62031.06</x:v>
      </x:c>
      <x:c r="L83" s="46" t="n">
        <x:v>52</x:v>
      </x:c>
    </x:row>
    <x:row r="84">
      <x:c r="A84" t="str">
        <x:v>LT-2020-081</x:v>
      </x:c>
      <x:c r="B84" s="44" t="n">
        <x:v>43846</x:v>
      </x:c>
      <x:c r="C84" t="str">
        <x:v>Bogotá</x:v>
      </x:c>
      <x:c r="D84" t="str">
        <x:v>Colombia</x:v>
      </x:c>
      <x:c r="E84" t="str">
        <x:v>RAM-16-V</x:v>
      </x:c>
      <x:c r="F84" t="str">
        <x:v>RAM</x:v>
      </x:c>
      <x:c r="G84" t="str">
        <x:v>L2 | Noche</x:v>
      </x:c>
      <x:c r="H84" t="str">
        <x:v>Mariana Gómez</x:v>
      </x:c>
      <x:c r="I84" s="46" t="n">
        <x:v>1760</x:v>
      </x:c>
      <x:c r="J84" s="48" t="n">
        <x:v>31.62</x:v>
      </x:c>
      <x:c r="K84" s="48" t="n">
        <x:v>55651.2</x:v>
      </x:c>
      <x:c r="L84" s="46" t="n">
        <x:v>14</x:v>
      </x:c>
    </x:row>
    <x:row r="85">
      <x:c r="A85" t="str">
        <x:v>LT-2020-082</x:v>
      </x:c>
      <x:c r="B85" s="44" t="str">
        <x:v>26 Feb 2020</x:v>
      </x:c>
      <x:c r="C85" t="str">
        <x:v>Lima</x:v>
      </x:c>
      <x:c r="D85" t="str">
        <x:v>Perú</x:v>
      </x:c>
      <x:c r="E85" t="str">
        <x:v>SSD-512-N</x:v>
      </x:c>
      <x:c r="F85" t="str">
        <x:v>SSD</x:v>
      </x:c>
      <x:c r="G85" t="str">
        <x:v>L3 | Tarde</x:v>
      </x:c>
      <x:c r="H85" t="str">
        <x:v>Diego Salazar</x:v>
      </x:c>
      <x:c r="I85" s="46" t="n">
        <x:v>797</x:v>
      </x:c>
      <x:c r="J85" s="48" t="n">
        <x:v>41.34</x:v>
      </x:c>
      <x:c r="K85" s="48" t="n">
        <x:v>32947.98</x:v>
      </x:c>
      <x:c r="L85" s="46" t="n">
        <x:v>12</x:v>
      </x:c>
    </x:row>
    <x:row r="86">
      <x:c r="A86" t="str">
        <x:v>LT-2020-083</x:v>
      </x:c>
      <x:c r="B86" s="44" t="n">
        <x:v>43927</x:v>
      </x:c>
      <x:c r="C86" t="str">
        <x:v>São Paulo</x:v>
      </x:c>
      <x:c r="D86" t="str">
        <x:v>Brasil</x:v>
      </x:c>
      <x:c r="E86" t="str">
        <x:v>RAM-16-V</x:v>
      </x:c>
      <x:c r="F86" t="str">
        <x:v>RAM</x:v>
      </x:c>
      <x:c r="G86" t="str">
        <x:v>L4 | Mañana</x:v>
      </x:c>
      <x:c r="H86" t="str">
        <x:v>Carla Ribeiro</x:v>
      </x:c>
      <x:c r="I86" s="46" t="n">
        <x:v>934</x:v>
      </x:c>
      <x:c r="J86" s="48" t="n">
        <x:v>30.07</x:v>
      </x:c>
      <x:c r="K86" s="48" t="n">
        <x:v>28085.38</x:v>
      </x:c>
      <x:c r="L86" s="46" t="n">
        <x:v>21</x:v>
      </x:c>
    </x:row>
    <x:row r="87">
      <x:c r="A87" t="str">
        <x:v>LT-2020-084</x:v>
      </x:c>
      <x:c r="B87" s="44" t="n">
        <x:v>43968</x:v>
      </x:c>
      <x:c r="C87" t="str">
        <x:v>San José</x:v>
      </x:c>
      <x:c r="D87" t="str">
        <x:v>Costa Rica</x:v>
      </x:c>
      <x:c r="E87" t="str">
        <x:v>SSD-512-N</x:v>
      </x:c>
      <x:c r="F87" t="str">
        <x:v>SSD</x:v>
      </x:c>
      <x:c r="G87" t="str">
        <x:v>L1 | Noche</x:v>
      </x:c>
      <x:c r="H87" t="str">
        <x:v>Luis Mendoza</x:v>
      </x:c>
      <x:c r="I87" s="46" t="n">
        <x:v>1071</x:v>
      </x:c>
      <x:c r="J87" s="48" t="n">
        <x:v>39.39</x:v>
      </x:c>
      <x:c r="K87" s="48" t="n">
        <x:v>42186.69</x:v>
      </x:c>
      <x:c r="L87" s="46" t="n">
        <x:v>31</x:v>
      </x:c>
    </x:row>
    <x:row r="88">
      <x:c r="A88" t="str">
        <x:v>LT-2020-085</x:v>
      </x:c>
      <x:c r="B88" s="44" t="n">
        <x:v>44009</x:v>
      </x:c>
      <x:c r="C88" t="str">
        <x:v>Monterrey</x:v>
      </x:c>
      <x:c r="D88" t="str">
        <x:v>México</x:v>
      </x:c>
      <x:c r="E88" t="str">
        <x:v>HDD-1TB-A</x:v>
      </x:c>
      <x:c r="F88" t="str">
        <x:v>HDD</x:v>
      </x:c>
      <x:c r="G88" t="str">
        <x:v>L2 | Tarde</x:v>
      </x:c>
      <x:c r="H88" t="str">
        <x:v>Luis Mendoza</x:v>
      </x:c>
      <x:c r="I88" s="46" t="n">
        <x:v>1208</x:v>
      </x:c>
      <x:c r="J88" s="48" t="n">
        <x:v>33.08</x:v>
      </x:c>
      <x:c r="K88" s="48" t="n">
        <x:v>39960.64</x:v>
      </x:c>
      <x:c r="L88" s="46" t="n">
        <x:v>43</x:v>
      </x:c>
    </x:row>
    <x:row r="89">
      <x:c r="A89" t="str">
        <x:v>LT-2020-086</x:v>
      </x:c>
      <x:c r="B89" s="44" t="n">
        <x:v>44049</x:v>
      </x:c>
      <x:c r="C89" t="str">
        <x:v>Guadalajara</x:v>
      </x:c>
      <x:c r="D89" t="str">
        <x:v>México</x:v>
      </x:c>
      <x:c r="E89" t="str">
        <x:v>SSD-1TB-N</x:v>
      </x:c>
      <x:c r="F89" t="str">
        <x:v>SSD</x:v>
      </x:c>
      <x:c r="G89" t="str">
        <x:v>L3 | Mañana</x:v>
      </x:c>
      <x:c r="H89" t="str">
        <x:v>Ana Torres</x:v>
      </x:c>
      <x:c r="I89" s="46" t="n">
        <x:v>1345</x:v>
      </x:c>
      <x:c r="J89" s="48" t="n">
        <x:v>59.52</x:v>
      </x:c>
      <x:c r="K89" s="48" t="n">
        <x:v>80054.4</x:v>
      </x:c>
      <x:c r="L89" s="46" t="n">
        <x:v>16</x:v>
      </x:c>
    </x:row>
    <x:row r="90">
      <x:c r="A90" t="str">
        <x:v>LT-2020-087</x:v>
      </x:c>
      <x:c r="B90" s="44" t="n">
        <x:v>44090</x:v>
      </x:c>
      <x:c r="C90" t="str">
        <x:v>Bogotá</x:v>
      </x:c>
      <x:c r="D90" t="str">
        <x:v>Colombia</x:v>
      </x:c>
      <x:c r="E90" t="str">
        <x:v>HDD-1TB-A</x:v>
      </x:c>
      <x:c r="F90" t="str">
        <x:v>HDD</x:v>
      </x:c>
      <x:c r="G90" t="str">
        <x:v>L4 | Noche</x:v>
      </x:c>
      <x:c r="H90" t="str">
        <x:v>Sofía Herrera</x:v>
      </x:c>
      <x:c r="I90" s="46" t="n">
        <x:v>1482</x:v>
      </x:c>
      <x:c r="J90" s="48" t="n">
        <x:v>31.5</x:v>
      </x:c>
      <x:c r="K90" s="48" t="n">
        <x:v>46683</x:v>
      </x:c>
      <x:c r="L90" s="46" t="n">
        <x:v>28</x:v>
      </x:c>
    </x:row>
    <x:row r="91">
      <x:c r="A91" t="str">
        <x:v>LT-2020-088</x:v>
      </x:c>
      <x:c r="B91" s="44" t="n">
        <x:v>44131</x:v>
      </x:c>
      <x:c r="C91" t="str">
        <x:v>Lima</x:v>
      </x:c>
      <x:c r="D91" t="str">
        <x:v>Perú</x:v>
      </x:c>
      <x:c r="E91" t="str">
        <x:v>SSD-1TB-N</x:v>
      </x:c>
      <x:c r="F91" t="str">
        <x:v>SSD</x:v>
      </x:c>
      <x:c r="G91" t="str">
        <x:v>L1 | Tarde</x:v>
      </x:c>
      <x:c r="H91" t="str">
        <x:v>Paula Ferreira</x:v>
      </x:c>
      <x:c r="I91" s="46" t="n">
        <x:v>1619</x:v>
      </x:c>
      <x:c r="J91" s="48" t="n">
        <x:v>64.48</x:v>
      </x:c>
      <x:c r="K91" s="48" t="n">
        <x:v>104393.12</x:v>
      </x:c>
      <x:c r="L91" s="46" t="n">
        <x:v>42</x:v>
      </x:c>
    </x:row>
    <x:row r="92">
      <x:c r="A92" t="str">
        <x:v>LT-2020-089</x:v>
      </x:c>
      <x:c r="B92" s="44" t="n">
        <x:v>44171</x:v>
      </x:c>
      <x:c r="C92" t="str">
        <x:v>São Paulo</x:v>
      </x:c>
      <x:c r="D92" t="str">
        <x:v>Brasil</x:v>
      </x:c>
      <x:c r="E92" t="str">
        <x:v>HDD-1TB-A</x:v>
      </x:c>
      <x:c r="F92" t="str">
        <x:v>HDD </x:v>
      </x:c>
      <x:c r="G92" t="str">
        <x:v>L2 | Mañana</x:v>
      </x:c>
      <x:c r="H92" t="str">
        <x:v>PAULA FERREIRA</x:v>
      </x:c>
      <x:c r="I92" s="46" t="n">
        <x:v>1756</x:v>
      </x:c>
      <x:c r="J92" s="48"/>
      <x:c r="K92" s="48" t="n">
        <x:v>52539.52</x:v>
      </x:c>
      <x:c r="L92" s="46" t="n">
        <x:v>58</x:v>
      </x:c>
    </x:row>
    <x:row r="93">
      <x:c r="A93" t="str">
        <x:v>LT-2020-090</x:v>
      </x:c>
      <x:c r="B93" s="44" t="n">
        <x:v>43852</x:v>
      </x:c>
      <x:c r="C93" t="str">
        <x:v>San José</x:v>
      </x:c>
      <x:c r="D93" t="str">
        <x:v>Costa Rica</x:v>
      </x:c>
      <x:c r="E93" t="str">
        <x:v>SSD-1TB-N</x:v>
      </x:c>
      <x:c r="F93" t="str">
        <x:v>SSD</x:v>
      </x:c>
      <x:c r="G93" t="str">
        <x:v>L3 | Noche</x:v>
      </x:c>
      <x:c r="H93" t="str">
        <x:v>Jorge Castillo</x:v>
      </x:c>
      <x:c r="I93" s="46" t="n">
        <x:v>793</x:v>
      </x:c>
      <x:c r="J93" s="48" t="n">
        <x:v>61.38</x:v>
      </x:c>
      <x:c r="K93" s="48" t="n">
        <x:v>48674.34</x:v>
      </x:c>
      <x:c r="L93" s="46" t="n">
        <x:v>7</x:v>
      </x:c>
    </x:row>
    <x:row r="94">
      <x:c r="A94" t="str">
        <x:v>LT-2020-091</x:v>
      </x:c>
      <x:c r="B94" s="44" t="n">
        <x:v>43893</x:v>
      </x:c>
      <x:c r="C94" t="str">
        <x:v>Monterrey</x:v>
      </x:c>
      <x:c r="D94" t="str">
        <x:v>México</x:v>
      </x:c>
      <x:c r="E94" t="str">
        <x:v>HDD-1TB-A</x:v>
      </x:c>
      <x:c r="F94" t="str">
        <x:v>HDD</x:v>
      </x:c>
      <x:c r="G94" t="str">
        <x:v>L4 | Tarde</x:v>
      </x:c>
      <x:c r="H94" t="str">
        <x:v>Mariana Gómez</x:v>
      </x:c>
      <x:c r="I94" s="46" t="n">
        <x:v>930</x:v>
      </x:c>
      <x:c r="J94" s="48" t="n">
        <x:v>32.45</x:v>
      </x:c>
      <x:c r="K94" s="48" t="n">
        <x:v>30178.5</x:v>
      </x:c>
      <x:c r="L94" s="46" t="n">
        <x:v>15</x:v>
      </x:c>
    </x:row>
    <x:row r="95">
      <x:c r="A95" t="str">
        <x:v>LT-2020-092</x:v>
      </x:c>
      <x:c r="B95" s="44" t="n">
        <x:v>43933</x:v>
      </x:c>
      <x:c r="C95" t="str">
        <x:v>Guadalajara</x:v>
      </x:c>
      <x:c r="D95" t="str">
        <x:v>México</x:v>
      </x:c>
      <x:c r="E95" t="str">
        <x:v>RAM-8-V</x:v>
      </x:c>
      <x:c r="F95" t="str">
        <x:v>RAM</x:v>
      </x:c>
      <x:c r="G95" t="str">
        <x:v>L1 | Mañana</x:v>
      </x:c>
      <x:c r="H95" t="str">
        <x:v>Diego Salazar</x:v>
      </x:c>
      <x:c r="I95" s="46" t="n">
        <x:v>1067</x:v>
      </x:c>
      <x:c r="J95" s="48" t="n">
        <x:v>17.39</x:v>
      </x:c>
      <x:c r="K95" s="48" t="n">
        <x:v>18555.13</x:v>
      </x:c>
      <x:c r="L95" s="46" t="n">
        <x:v>25</x:v>
      </x:c>
    </x:row>
    <x:row r="96">
      <x:c r="A96" t="str">
        <x:v>LT-2020-093</x:v>
      </x:c>
      <x:c r="B96" s="44" t="n">
        <x:v>43974</x:v>
      </x:c>
      <x:c r="C96" t="str">
        <x:v>Bogotá</x:v>
      </x:c>
      <x:c r="D96" t="str">
        <x:v>Colombia</x:v>
      </x:c>
      <x:c r="E96" t="str">
        <x:v> HDD-2TB-B  </x:v>
      </x:c>
      <x:c r="F96" t="str">
        <x:v>HDD</x:v>
      </x:c>
      <x:c r="G96" t="str">
        <x:v>L2 | Noche</x:v>
      </x:c>
      <x:c r="H96" t="str">
        <x:v>Diego Salazar</x:v>
      </x:c>
      <x:c r="I96" s="46" t="str">
        <x:v>1204</x:v>
      </x:c>
      <x:c r="J96" s="48" t="n">
        <x:v>44.1</x:v>
      </x:c>
      <x:c r="K96" s="48"/>
      <x:c r="L96" s="46" t="n">
        <x:v>36</x:v>
      </x:c>
    </x:row>
    <x:row r="97">
      <x:c r="A97" t="str">
        <x:v>LT-2020-094</x:v>
      </x:c>
      <x:c r="B97" s="44" t="n">
        <x:v>44015</x:v>
      </x:c>
      <x:c r="C97" t="str">
        <x:v>Lima</x:v>
      </x:c>
      <x:c r="D97" t="str">
        <x:v>Perú</x:v>
      </x:c>
      <x:c r="E97" t="str">
        <x:v>RAM-8-V</x:v>
      </x:c>
      <x:c r="F97" t="str">
        <x:v>RAM</x:v>
      </x:c>
      <x:c r="G97" t="str">
        <x:v>L3 | Tarde</x:v>
      </x:c>
      <x:c r="H97" t="str">
        <x:v>Carla Ribeiro</x:v>
      </x:c>
      <x:c r="I97" s="46" t="n">
        <x:v>1341</x:v>
      </x:c>
      <x:c r="J97" s="48" t="n">
        <x:v>18.87</x:v>
      </x:c>
      <x:c r="K97" s="48" t="n">
        <x:v>25304.67</x:v>
      </x:c>
      <x:c r="L97" s="46" t="n">
        <x:v>8</x:v>
      </x:c>
    </x:row>
    <x:row r="98">
      <x:c r="A98" t="str">
        <x:v>LT-2020-095</x:v>
      </x:c>
      <x:c r="B98" s="44" t="n">
        <x:v>44055</x:v>
      </x:c>
      <x:c r="C98" t="str">
        <x:v>São Paulo</x:v>
      </x:c>
      <x:c r="D98" t="str">
        <x:v>Brasil</x:v>
      </x:c>
      <x:c r="E98" t="str">
        <x:v>HDD-2TB-B</x:v>
      </x:c>
      <x:c r="F98" t="str">
        <x:v>HDD</x:v>
      </x:c>
      <x:c r="G98" t="str">
        <x:v>L4 | Mañana</x:v>
      </x:c>
      <x:c r="H98" t="str">
        <x:v>Luis Mendoza</x:v>
      </x:c>
      <x:c r="I98" s="46" t="n">
        <x:v>1478</x:v>
      </x:c>
      <x:c r="J98" s="48" t="n">
        <x:v>47.7</x:v>
      </x:c>
      <x:c r="K98" s="48" t="n">
        <x:v>70500.6</x:v>
      </x:c>
      <x:c r="L98" s="46" t="n">
        <x:v>19</x:v>
      </x:c>
    </x:row>
    <x:row r="99">
      <x:c r="A99" t="str">
        <x:v>LT-2020-003</x:v>
      </x:c>
      <x:c r="B99" s="44" t="n">
        <x:v>43914</x:v>
      </x:c>
      <x:c r="C99" t="str">
        <x:v>Bogotá</x:v>
      </x:c>
      <x:c r="D99" t="str">
        <x:v>Colombia</x:v>
      </x:c>
      <x:c r="E99" t="str">
        <x:v>HDD-1TB-A</x:v>
      </x:c>
      <x:c r="F99" t="str">
        <x:v>HDD</x:v>
      </x:c>
      <x:c r="G99" t="str">
        <x:v>L4 | Noche</x:v>
      </x:c>
      <x:c r="H99" t="str">
        <x:v>Paula Ferreira</x:v>
      </x:c>
      <x:c r="I99" s="46" t="n">
        <x:v>974</x:v>
      </x:c>
      <x:c r="J99" s="48" t="n">
        <x:v>32.13</x:v>
      </x:c>
      <x:c r="K99" s="48" t="n">
        <x:v>31294.62</x:v>
      </x:c>
      <x:c r="L99" s="46" t="n">
        <x:v>19</x:v>
      </x:c>
    </x:row>
    <x:row r="100">
      <x:c r="A100" t="str">
        <x:v>LT-2020-016</x:v>
      </x:c>
      <x:c r="B100" s="44" t="n">
        <x:v>44083</x:v>
      </x:c>
      <x:c r="C100" t="str">
        <x:v>Lima</x:v>
      </x:c>
      <x:c r="D100" t="str">
        <x:v>Perú</x:v>
      </x:c>
      <x:c r="E100" t="str">
        <x:v>RAM-16-V</x:v>
      </x:c>
      <x:c r="F100" t="str">
        <x:v>RAM</x:v>
      </x:c>
      <x:c r="G100" t="str">
        <x:v>L1 | Tarde</x:v>
      </x:c>
      <x:c r="H100" t="str">
        <x:v>Mariana Gómez</x:v>
      </x:c>
      <x:c r="I100" s="46" t="n">
        <x:v>1655</x:v>
      </x:c>
      <x:c r="J100" s="48" t="n">
        <x:v>31.62</x:v>
      </x:c>
      <x:c r="K100" s="48" t="n">
        <x:v>52331.1</x:v>
      </x:c>
      <x:c r="L100" s="46" t="n">
        <x:v>30</x:v>
      </x:c>
    </x:row>
    <x:row r="101">
      <x:c r="A101" t="str">
        <x:v>LT-2020-038</x:v>
      </x:c>
      <x:c r="B101" s="44" t="n">
        <x:v>43897</x:v>
      </x:c>
      <x:c r="C101" t="str">
        <x:v>Guadalajara</x:v>
      </x:c>
      <x:c r="D101" t="str">
        <x:v>México</x:v>
      </x:c>
      <x:c r="E101" t="str">
        <x:v>SSD-512-N</x:v>
      </x:c>
      <x:c r="F101" t="str">
        <x:v>SSD</x:v>
      </x:c>
      <x:c r="G101" t="str">
        <x:v>L3 | Mañana</x:v>
      </x:c>
      <x:c r="H101" t="str">
        <x:v>Mariana Gómez</x:v>
      </x:c>
      <x:c r="I101" s="46" t="n">
        <x:v>1369</x:v>
      </x:c>
      <x:c r="J101" s="48" t="n">
        <x:v>38.61</x:v>
      </x:c>
      <x:c r="K101" s="48" t="n">
        <x:v>52857.09</x:v>
      </x:c>
      <x:c r="L101" s="46" t="n">
        <x:v>23</x:v>
      </x:c>
    </x:row>
    <x:row r="102">
      <x:c r="A102" t="str">
        <x:v>LT-2020-059</x:v>
      </x:c>
      <x:c r="B102" s="44" t="n">
        <x:v>44031</x:v>
      </x:c>
      <x:c r="C102" t="str">
        <x:v>São Paulo</x:v>
      </x:c>
      <x:c r="D102" t="str">
        <x:v>Brasil</x:v>
      </x:c>
      <x:c r="E102" t="str">
        <x:v>SSD-512-N</x:v>
      </x:c>
      <x:c r="F102" t="str">
        <x:v>SSD</x:v>
      </x:c>
      <x:c r="G102" t="str">
        <x:v>L4 | Mañana</x:v>
      </x:c>
      <x:c r="H102" t="str">
        <x:v>Mariana Gómez</x:v>
      </x:c>
      <x:c r="I102" s="46" t="n">
        <x:v>946</x:v>
      </x:c>
      <x:c r="J102" s="48" t="n">
        <x:v>40.95</x:v>
      </x:c>
      <x:c r="K102" s="48" t="n">
        <x:v>38738.7</x:v>
      </x:c>
      <x:c r="L102" s="46" t="n">
        <x:v>9</x:v>
      </x:c>
    </x:row>
    <x:row r="103">
      <x:c r="A103" t="str">
        <x:v>LT-2020-091</x:v>
      </x:c>
      <x:c r="B103" s="44" t="n">
        <x:v>43893</x:v>
      </x:c>
      <x:c r="C103" t="str">
        <x:v>Monterrey</x:v>
      </x:c>
      <x:c r="D103" t="str">
        <x:v>México</x:v>
      </x:c>
      <x:c r="E103" t="str">
        <x:v>HDD-1TB-A</x:v>
      </x:c>
      <x:c r="F103" t="str">
        <x:v>HDD</x:v>
      </x:c>
      <x:c r="G103" t="str">
        <x:v>L4 | Tarde</x:v>
      </x:c>
      <x:c r="H103" t="str">
        <x:v>Mariana Gómez</x:v>
      </x:c>
      <x:c r="I103" s="46" t="n">
        <x:v>930</x:v>
      </x:c>
      <x:c r="J103" s="48" t="n">
        <x:v>32.45</x:v>
      </x:c>
      <x:c r="K103" s="48" t="n">
        <x:v>30178.5</x:v>
      </x:c>
      <x:c r="L103" s="46" t="n">
        <x:v>15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4" hidden="0" customWidth="1"/>
    <x:col min="5" max="5" width="18" hidden="0" customWidth="1"/>
    <x:col min="6" max="6" width="13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9" hidden="0" customWidth="1"/>
    <x:col min="12" max="12" width="21" hidden="0" customWidth="1"/>
    <x:col min="13" max="13" width="11" hidden="0" customWidth="1"/>
    <x:col min="14" max="14" width="12" hidden="0" customWidth="1"/>
    <x:col min="15" max="15" width="16" hidden="0" customWidth="1"/>
    <x:col min="16" max="16" width="16" hidden="0" customWidth="1"/>
  </x:cols>
  <x:sheetData>
    <x:row r="1" ht="30" customHeight="1">
      <x:c r="A1" s="6" t="str">
        <x:v>Versión resuelta: datos limpios y preparados para análisis.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3">
      <x:c r="A3" s="27" t="str">
        <x:v>ID_Lote</x:v>
      </x:c>
      <x:c r="B3" s="28" t="str">
        <x:v>Fecha_Produccion</x:v>
      </x:c>
      <x:c r="C3" s="28" t="str">
        <x:v>Planta</x:v>
      </x:c>
      <x:c r="D3" s="28" t="str">
        <x:v>Pais</x:v>
      </x:c>
      <x:c r="E3" s="28" t="str">
        <x:v>Codigo_Producto</x:v>
      </x:c>
      <x:c r="F3" s="28" t="str">
        <x:v>Categoria</x:v>
      </x:c>
      <x:c r="G3" s="28" t="str">
        <x:v>Linea_Turno</x:v>
      </x:c>
      <x:c r="H3" s="28" t="str">
        <x:v>Supervisor</x:v>
      </x:c>
      <x:c r="I3" s="28" t="str">
        <x:v>Unidades_Producidas</x:v>
      </x:c>
      <x:c r="J3" s="28" t="str">
        <x:v>Costo_Unitario_USD</x:v>
      </x:c>
      <x:c r="K3" s="28" t="str">
        <x:v>Costo_Total_USD</x:v>
      </x:c>
      <x:c r="L3" s="28" t="str">
        <x:v>Unidades_Defectuosas</x:v>
      </x:c>
      <x:c r="M3" s="28" t="str">
        <x:v>Linea</x:v>
      </x:c>
      <x:c r="N3" s="28" t="str">
        <x:v>Turno</x:v>
      </x:c>
      <x:c r="O3" s="28" t="str">
        <x:v>Tasa_Defectos</x:v>
      </x:c>
      <x:c r="P3" s="29" t="str">
        <x:v>Nivel_Calidad</x:v>
      </x:c>
    </x:row>
    <x:row r="4">
      <x:c r="A4" t="str">
        <x:v>LT-2020-001</x:v>
      </x:c>
      <x:c r="B4" s="44" t="n">
        <x:v>43833</x:v>
      </x:c>
      <x:c r="C4" t="str">
        <x:v>Monterrey</x:v>
      </x:c>
      <x:c r="D4" t="str">
        <x:v>México</x:v>
      </x:c>
      <x:c r="E4" t="str">
        <x:v>HDD-1TB-A</x:v>
      </x:c>
      <x:c r="F4" t="str">
        <x:v>HDD</x:v>
      </x:c>
      <x:c r="G4" t="str">
        <x:v>L2 | Tarde</x:v>
      </x:c>
      <x:c r="H4" t="str">
        <x:v>Ana Torres</x:v>
      </x:c>
      <x:c r="I4" s="46" t="n">
        <x:v>700</x:v>
      </x:c>
      <x:c r="J4" s="48" t="n">
        <x:v>29.61</x:v>
      </x:c>
      <x:c r="K4" s="48" t="n">
        <x:v>20727</x:v>
      </x:c>
      <x:c r="L4" s="46" t="n">
        <x:v>4</x:v>
      </x:c>
      <x:c r="M4" s="52" t="str">
        <x:v>L2</x:v>
      </x:c>
      <x:c r="N4" s="52" t="str">
        <x:v>Tarde</x:v>
      </x:c>
      <x:c r="O4" s="53" t="n">
        <x:f>L4/I4</x:f>
        <x:v>0.005714285714285714</x:v>
      </x:c>
      <x:c r="P4" s="52" t="str">
        <x:f>IF(O4&lt;=2%,"Aceptable","Revisar")</x:f>
        <x:v>Aceptable</x:v>
      </x:c>
    </x:row>
    <x:row r="5">
      <x:c r="A5" t="str">
        <x:v>LT-2020-002</x:v>
      </x:c>
      <x:c r="B5" s="44" t="n">
        <x:v>43873</x:v>
      </x:c>
      <x:c r="C5" t="str">
        <x:v>Guadalajara</x:v>
      </x:c>
      <x:c r="D5" t="str">
        <x:v>México</x:v>
      </x:c>
      <x:c r="E5" t="str">
        <x:v>SSD-1TB-N</x:v>
      </x:c>
      <x:c r="F5" t="str">
        <x:v>SSD</x:v>
      </x:c>
      <x:c r="G5" t="str">
        <x:v>L3 | Mañana</x:v>
      </x:c>
      <x:c r="H5" t="str">
        <x:v>Sofía Herrera</x:v>
      </x:c>
      <x:c r="I5" s="46" t="n">
        <x:v>837</x:v>
      </x:c>
      <x:c r="J5" s="48" t="n">
        <x:v>60.76</x:v>
      </x:c>
      <x:c r="K5" s="48" t="n">
        <x:v>50856.12</x:v>
      </x:c>
      <x:c r="L5" s="46" t="n">
        <x:v>11</x:v>
      </x:c>
      <x:c r="M5" s="52" t="str">
        <x:v>L3</x:v>
      </x:c>
      <x:c r="N5" s="52" t="str">
        <x:v>Mañana</x:v>
      </x:c>
      <x:c r="O5" s="53" t="n">
        <x:f>L5/I5</x:f>
        <x:v>0.013142174432497013</x:v>
      </x:c>
      <x:c r="P5" s="52" t="str">
        <x:f>IF(O5&lt;=2%,"Aceptable","Revisar")</x:f>
        <x:v>Aceptable</x:v>
      </x:c>
    </x:row>
    <x:row r="6">
      <x:c r="A6" t="str">
        <x:v>LT-2020-003</x:v>
      </x:c>
      <x:c r="B6" s="44" t="n">
        <x:v>43914</x:v>
      </x:c>
      <x:c r="C6" t="str">
        <x:v>Bogotá</x:v>
      </x:c>
      <x:c r="D6" t="str">
        <x:v>Colombia</x:v>
      </x:c>
      <x:c r="E6" t="str">
        <x:v>HDD-1TB-A</x:v>
      </x:c>
      <x:c r="F6" t="str">
        <x:v>HDD</x:v>
      </x:c>
      <x:c r="G6" t="str">
        <x:v>L4 | Noche</x:v>
      </x:c>
      <x:c r="H6" t="str">
        <x:v>Paula Ferreira</x:v>
      </x:c>
      <x:c r="I6" s="46" t="n">
        <x:v>974</x:v>
      </x:c>
      <x:c r="J6" s="48" t="n">
        <x:v>32.13</x:v>
      </x:c>
      <x:c r="K6" s="48" t="n">
        <x:v>31294.62</x:v>
      </x:c>
      <x:c r="L6" s="46" t="n">
        <x:v>19</x:v>
      </x:c>
      <x:c r="M6" s="52" t="str">
        <x:v>L4</x:v>
      </x:c>
      <x:c r="N6" s="52" t="str">
        <x:v>Noche</x:v>
      </x:c>
      <x:c r="O6" s="53" t="n">
        <x:f>L6/I6</x:f>
        <x:v>0.019507186858316223</x:v>
      </x:c>
      <x:c r="P6" s="52" t="str">
        <x:f>IF(O6&lt;=2%,"Aceptable","Revisar")</x:f>
        <x:v>Aceptable</x:v>
      </x:c>
    </x:row>
    <x:row r="7">
      <x:c r="A7" t="str">
        <x:v>LT-2020-004</x:v>
      </x:c>
      <x:c r="B7" s="44" t="n">
        <x:v>43955</x:v>
      </x:c>
      <x:c r="C7" t="str">
        <x:v>Lima</x:v>
      </x:c>
      <x:c r="D7" t="str">
        <x:v>Perú</x:v>
      </x:c>
      <x:c r="E7" t="str">
        <x:v>SSD-1TB-N</x:v>
      </x:c>
      <x:c r="F7" t="str">
        <x:v>SSD</x:v>
      </x:c>
      <x:c r="G7" t="str">
        <x:v>L1 | Tarde</x:v>
      </x:c>
      <x:c r="H7" t="str">
        <x:v>Jorge Castillo</x:v>
      </x:c>
      <x:c r="I7" s="46" t="n">
        <x:v>1111</x:v>
      </x:c>
      <x:c r="J7" s="48" t="n">
        <x:v>65.72</x:v>
      </x:c>
      <x:c r="K7" s="48" t="n">
        <x:v>73014.92</x:v>
      </x:c>
      <x:c r="L7" s="46" t="n">
        <x:v>30</x:v>
      </x:c>
      <x:c r="M7" s="52" t="str">
        <x:v>L1</x:v>
      </x:c>
      <x:c r="N7" s="52" t="str">
        <x:v>Tarde</x:v>
      </x:c>
      <x:c r="O7" s="53" t="n">
        <x:f>L7/I7</x:f>
        <x:v>0.027002700270027002</x:v>
      </x:c>
      <x:c r="P7" s="52" t="str">
        <x:f>IF(O7&lt;=2%,"Aceptable","Revisar")</x:f>
        <x:v>Revisar</x:v>
      </x:c>
    </x:row>
    <x:row r="8">
      <x:c r="A8" t="str">
        <x:v>LT-2020-005</x:v>
      </x:c>
      <x:c r="B8" s="44" t="n">
        <x:v>43995</x:v>
      </x:c>
      <x:c r="C8" t="str">
        <x:v>São Paulo</x:v>
      </x:c>
      <x:c r="D8" t="str">
        <x:v>Brasil</x:v>
      </x:c>
      <x:c r="E8" t="str">
        <x:v>HDD-1TB-A</x:v>
      </x:c>
      <x:c r="F8" t="str">
        <x:v>HDD</x:v>
      </x:c>
      <x:c r="G8" t="str">
        <x:v>L2 | Mañana</x:v>
      </x:c>
      <x:c r="H8" t="str">
        <x:v>Jorge Castillo</x:v>
      </x:c>
      <x:c r="I8" s="46" t="n">
        <x:v>1248</x:v>
      </x:c>
      <x:c r="J8" s="48" t="n">
        <x:f>K8/I8</x:f>
        <x:v>30.55</x:v>
      </x:c>
      <x:c r="K8" s="48" t="n">
        <x:v>38126.4</x:v>
      </x:c>
      <x:c r="L8" s="46" t="n">
        <x:v>42</x:v>
      </x:c>
      <x:c r="M8" s="52" t="str">
        <x:v>L2</x:v>
      </x:c>
      <x:c r="N8" s="52" t="str">
        <x:v>Mañana</x:v>
      </x:c>
      <x:c r="O8" s="53" t="n">
        <x:f>L8/I8</x:f>
        <x:v>0.03365384615384615</x:v>
      </x:c>
      <x:c r="P8" s="52" t="str">
        <x:f>IF(O8&lt;=2%,"Aceptable","Revisar")</x:f>
        <x:v>Revisar</x:v>
      </x:c>
    </x:row>
    <x:row r="9">
      <x:c r="A9" t="str">
        <x:v>LT-2020-006</x:v>
      </x:c>
      <x:c r="B9" s="44" t="n">
        <x:v>44036</x:v>
      </x:c>
      <x:c r="C9" t="str">
        <x:v>San José</x:v>
      </x:c>
      <x:c r="D9" t="str">
        <x:v>Costa Rica</x:v>
      </x:c>
      <x:c r="E9" t="str">
        <x:v>SSD-1TB-N</x:v>
      </x:c>
      <x:c r="F9" t="str">
        <x:v>SSD</x:v>
      </x:c>
      <x:c r="G9" t="str">
        <x:v>L3 | Noche</x:v>
      </x:c>
      <x:c r="H9" t="str">
        <x:v>Mariana Gómez</x:v>
      </x:c>
      <x:c r="I9" s="46" t="n">
        <x:v>1385</x:v>
      </x:c>
      <x:c r="J9" s="48" t="n">
        <x:v>62.62</x:v>
      </x:c>
      <x:c r="K9" s="48" t="n">
        <x:v>86728.7</x:v>
      </x:c>
      <x:c r="L9" s="46" t="n">
        <x:v>14</x:v>
      </x:c>
      <x:c r="M9" s="52" t="str">
        <x:v>L3</x:v>
      </x:c>
      <x:c r="N9" s="52" t="str">
        <x:v>Noche</x:v>
      </x:c>
      <x:c r="O9" s="53" t="n">
        <x:f>L9/I9</x:f>
        <x:v>0.010108303249097473</x:v>
      </x:c>
      <x:c r="P9" s="52" t="str">
        <x:f>IF(O9&lt;=2%,"Aceptable","Revisar")</x:f>
        <x:v>Aceptable</x:v>
      </x:c>
    </x:row>
    <x:row r="10">
      <x:c r="A10" t="str">
        <x:v>LT-2020-007</x:v>
      </x:c>
      <x:c r="B10" s="44" t="n">
        <x:v>44077</x:v>
      </x:c>
      <x:c r="C10" t="str">
        <x:v>Monterrey</x:v>
      </x:c>
      <x:c r="D10" t="str">
        <x:v>México</x:v>
      </x:c>
      <x:c r="E10" t="str">
        <x:v>HDD-1TB-A</x:v>
      </x:c>
      <x:c r="F10" t="str">
        <x:v>HDD</x:v>
      </x:c>
      <x:c r="G10" t="str">
        <x:v>L4 | Tarde</x:v>
      </x:c>
      <x:c r="H10" t="str">
        <x:v>Diego Salazar</x:v>
      </x:c>
      <x:c r="I10" s="46" t="n">
        <x:v>1522</x:v>
      </x:c>
      <x:c r="J10" s="48" t="n">
        <x:v>33.08</x:v>
      </x:c>
      <x:c r="K10" s="48" t="n">
        <x:v>50347.76</x:v>
      </x:c>
      <x:c r="L10" s="46" t="n">
        <x:v>26</x:v>
      </x:c>
      <x:c r="M10" s="52" t="str">
        <x:v>L4</x:v>
      </x:c>
      <x:c r="N10" s="52" t="str">
        <x:v>Tarde</x:v>
      </x:c>
      <x:c r="O10" s="53" t="n">
        <x:f>L10/I10</x:f>
        <x:v>0.017082785808147174</x:v>
      </x:c>
      <x:c r="P10" s="52" t="str">
        <x:f>IF(O10&lt;=2%,"Aceptable","Revisar")</x:f>
        <x:v>Aceptable</x:v>
      </x:c>
    </x:row>
    <x:row r="11">
      <x:c r="A11" t="str">
        <x:v>LT-2020-008</x:v>
      </x:c>
      <x:c r="B11" s="44" t="n">
        <x:v>44117</x:v>
      </x:c>
      <x:c r="C11" t="str">
        <x:v>Guadalajara</x:v>
      </x:c>
      <x:c r="D11" t="str">
        <x:v>México</x:v>
      </x:c>
      <x:c r="E11" t="str">
        <x:v>RAM-8-V</x:v>
      </x:c>
      <x:c r="F11" t="str">
        <x:v>RAM</x:v>
      </x:c>
      <x:c r="G11" t="str">
        <x:v>L1 | Mañana</x:v>
      </x:c>
      <x:c r="H11" t="str">
        <x:v>Carla Ribeiro</x:v>
      </x:c>
      <x:c r="I11" s="46" t="n">
        <x:v>1659</x:v>
      </x:c>
      <x:c r="J11" s="48" t="n">
        <x:v>17.76</x:v>
      </x:c>
      <x:c r="K11" s="48" t="n">
        <x:v>29463.84</x:v>
      </x:c>
      <x:c r="L11" s="46" t="n">
        <x:v>40</x:v>
      </x:c>
      <x:c r="M11" s="52" t="str">
        <x:v>L1</x:v>
      </x:c>
      <x:c r="N11" s="52" t="str">
        <x:v>Mañana</x:v>
      </x:c>
      <x:c r="O11" s="53" t="n">
        <x:f>L11/I11</x:f>
        <x:v>0.024110910186859555</x:v>
      </x:c>
      <x:c r="P11" s="52" t="str">
        <x:f>IF(O11&lt;=2%,"Aceptable","Revisar")</x:f>
        <x:v>Revisar</x:v>
      </x:c>
    </x:row>
    <x:row r="12">
      <x:c r="A12" t="str">
        <x:v>LT-2020-009</x:v>
      </x:c>
      <x:c r="B12" s="44" t="n">
        <x:v>44158</x:v>
      </x:c>
      <x:c r="C12" t="str">
        <x:v>Bogotá</x:v>
      </x:c>
      <x:c r="D12" t="str">
        <x:v>Colombia</x:v>
      </x:c>
      <x:c r="E12" t="str">
        <x:v>HDD-2TB-B</x:v>
      </x:c>
      <x:c r="F12" t="str">
        <x:v>HDD</x:v>
      </x:c>
      <x:c r="G12" t="str">
        <x:v>L2 | Noche</x:v>
      </x:c>
      <x:c r="H12" t="str">
        <x:v>Carla Ribeiro</x:v>
      </x:c>
      <x:c r="I12" s="46" t="n">
        <x:v>1796</x:v>
      </x:c>
      <x:c r="J12" s="48" t="n">
        <x:v>45</x:v>
      </x:c>
      <x:c r="K12" s="48" t="n">
        <x:v>80820</x:v>
      </x:c>
      <x:c r="L12" s="46" t="n">
        <x:v>56</x:v>
      </x:c>
      <x:c r="M12" s="52" t="str">
        <x:v>L2</x:v>
      </x:c>
      <x:c r="N12" s="52" t="str">
        <x:v>Noche</x:v>
      </x:c>
      <x:c r="O12" s="53" t="n">
        <x:f>L12/I12</x:f>
        <x:v>0.031180400890868598</x:v>
      </x:c>
      <x:c r="P12" s="52" t="str">
        <x:f>IF(O12&lt;=2%,"Aceptable","Revisar")</x:f>
        <x:v>Revisar</x:v>
      </x:c>
    </x:row>
    <x:row r="13">
      <x:c r="A13" t="str">
        <x:v>LT-2020-010</x:v>
      </x:c>
      <x:c r="B13" s="44" t="n">
        <x:v>43839</x:v>
      </x:c>
      <x:c r="C13" t="str">
        <x:v>Lima</x:v>
      </x:c>
      <x:c r="D13" t="str">
        <x:v>Perú</x:v>
      </x:c>
      <x:c r="E13" t="str">
        <x:v>RAM-8-V</x:v>
      </x:c>
      <x:c r="F13" t="str">
        <x:v>RAM</x:v>
      </x:c>
      <x:c r="G13" t="str">
        <x:v>L3 | Tarde</x:v>
      </x:c>
      <x:c r="H13" t="str">
        <x:v>Luis Mendoza</x:v>
      </x:c>
      <x:c r="I13" s="46" t="n">
        <x:v>833</x:v>
      </x:c>
      <x:c r="J13" s="48" t="n">
        <x:v>19.24</x:v>
      </x:c>
      <x:c r="K13" s="48" t="n">
        <x:v>16026.92</x:v>
      </x:c>
      <x:c r="L13" s="46" t="n">
        <x:v>6</x:v>
      </x:c>
      <x:c r="M13" s="52" t="str">
        <x:v>L3</x:v>
      </x:c>
      <x:c r="N13" s="52" t="str">
        <x:v>Tarde</x:v>
      </x:c>
      <x:c r="O13" s="53" t="n">
        <x:f>L13/I13</x:f>
        <x:v>0.007202881152460984</x:v>
      </x:c>
      <x:c r="P13" s="52" t="str">
        <x:f>IF(O13&lt;=2%,"Aceptable","Revisar")</x:f>
        <x:v>Aceptable</x:v>
      </x:c>
    </x:row>
    <x:row r="14">
      <x:c r="A14" t="str">
        <x:v>LT-2020-011</x:v>
      </x:c>
      <x:c r="B14" s="44" t="n">
        <x:v>43879</x:v>
      </x:c>
      <x:c r="C14" t="str">
        <x:v>São Paulo</x:v>
      </x:c>
      <x:c r="D14" t="str">
        <x:v>Brasil</x:v>
      </x:c>
      <x:c r="E14" t="str">
        <x:v>HDD-2TB-B</x:v>
      </x:c>
      <x:c r="F14" t="str">
        <x:v>HDD</x:v>
      </x:c>
      <x:c r="G14" t="str">
        <x:v>L4 | Mañana</x:v>
      </x:c>
      <x:c r="H14" t="str">
        <x:v>Ana Torres</x:v>
      </x:c>
      <x:c r="I14" s="46" t="n">
        <x:v>970</x:v>
      </x:c>
      <x:c r="J14" s="48" t="n">
        <x:v>42.75</x:v>
      </x:c>
      <x:c r="K14" s="48" t="n">
        <x:v>41467.5</x:v>
      </x:c>
      <x:c r="L14" s="46" t="n">
        <x:v>14</x:v>
      </x:c>
      <x:c r="M14" s="52" t="str">
        <x:v>L4</x:v>
      </x:c>
      <x:c r="N14" s="52" t="str">
        <x:v>Mañana</x:v>
      </x:c>
      <x:c r="O14" s="53" t="n">
        <x:f>L14/I14</x:f>
        <x:v>0.01443298969072165</x:v>
      </x:c>
      <x:c r="P14" s="52" t="str">
        <x:f>IF(O14&lt;=2%,"Aceptable","Revisar")</x:f>
        <x:v>Aceptable</x:v>
      </x:c>
    </x:row>
    <x:row r="15">
      <x:c r="A15" t="str">
        <x:v>LT-2020-012</x:v>
      </x:c>
      <x:c r="B15" s="44" t="n">
        <x:v>43920</x:v>
      </x:c>
      <x:c r="C15" t="str">
        <x:v>San José</x:v>
      </x:c>
      <x:c r="D15" t="str">
        <x:v>Costa Rica</x:v>
      </x:c>
      <x:c r="E15" t="str">
        <x:v>RAM-8-V</x:v>
      </x:c>
      <x:c r="F15" t="str">
        <x:v>RAM</x:v>
      </x:c>
      <x:c r="G15" t="str">
        <x:v>L1 | Noche</x:v>
      </x:c>
      <x:c r="H15" t="str">
        <x:v>Sofía Herrera</x:v>
      </x:c>
      <x:c r="I15" s="46" t="n">
        <x:v>1107</x:v>
      </x:c>
      <x:c r="J15" s="48" t="n">
        <x:v>18.32</x:v>
      </x:c>
      <x:c r="K15" s="48" t="n">
        <x:f>I15*J15</x:f>
        <x:v>20280.24</x:v>
      </x:c>
      <x:c r="L15" s="46" t="n">
        <x:v>23</x:v>
      </x:c>
      <x:c r="M15" s="52" t="str">
        <x:v>L1</x:v>
      </x:c>
      <x:c r="N15" s="52" t="str">
        <x:v>Noche</x:v>
      </x:c>
      <x:c r="O15" s="53" t="n">
        <x:f>L15/I15</x:f>
        <x:v>0.02077687443541102</x:v>
      </x:c>
      <x:c r="P15" s="52" t="str">
        <x:f>IF(O15&lt;=2%,"Aceptable","Revisar")</x:f>
        <x:v>Revisar</x:v>
      </x:c>
    </x:row>
    <x:row r="16">
      <x:c r="A16" t="str">
        <x:v>LT-2020-013</x:v>
      </x:c>
      <x:c r="B16" s="44" t="n">
        <x:v>43961</x:v>
      </x:c>
      <x:c r="C16" t="str">
        <x:v>Monterrey</x:v>
      </x:c>
      <x:c r="D16" t="str">
        <x:v>México</x:v>
      </x:c>
      <x:c r="E16" t="str">
        <x:v>HDD-2TB-B</x:v>
      </x:c>
      <x:c r="F16" t="str">
        <x:v>HDD</x:v>
      </x:c>
      <x:c r="G16" t="str">
        <x:v>L2 | Tarde</x:v>
      </x:c>
      <x:c r="H16" t="str">
        <x:v>Sofía Herrera</x:v>
      </x:c>
      <x:c r="I16" s="46" t="n">
        <x:v>1244</x:v>
      </x:c>
      <x:c r="J16" s="48" t="n">
        <x:v>46.35</x:v>
      </x:c>
      <x:c r="K16" s="48" t="n">
        <x:v>57659.4</x:v>
      </x:c>
      <x:c r="L16" s="46" t="n">
        <x:v>35</x:v>
      </x:c>
      <x:c r="M16" s="52" t="str">
        <x:v>L2</x:v>
      </x:c>
      <x:c r="N16" s="52" t="str">
        <x:v>Tarde</x:v>
      </x:c>
      <x:c r="O16" s="53" t="n">
        <x:f>L16/I16</x:f>
        <x:v>0.028135048231511254</x:v>
      </x:c>
      <x:c r="P16" s="52" t="str">
        <x:f>IF(O16&lt;=2%,"Aceptable","Revisar")</x:f>
        <x:v>Revisar</x:v>
      </x:c>
    </x:row>
    <x:row r="17">
      <x:c r="A17" t="str">
        <x:v>LT-2020-014</x:v>
      </x:c>
      <x:c r="B17" s="44" t="n">
        <x:v>44001</x:v>
      </x:c>
      <x:c r="C17" t="str">
        <x:v>Guadalajara</x:v>
      </x:c>
      <x:c r="D17" t="str">
        <x:v>México</x:v>
      </x:c>
      <x:c r="E17" t="str">
        <x:v>RAM-8-V</x:v>
      </x:c>
      <x:c r="F17" t="str">
        <x:v>RAM</x:v>
      </x:c>
      <x:c r="G17" t="str">
        <x:v>L3 | Mañana</x:v>
      </x:c>
      <x:c r="H17" t="str">
        <x:v>Paula Ferreira</x:v>
      </x:c>
      <x:c r="I17" s="46" t="n">
        <x:v>1381</x:v>
      </x:c>
      <x:c r="J17" s="48" t="n">
        <x:v>17.39</x:v>
      </x:c>
      <x:c r="K17" s="48" t="n">
        <x:v>24015.59</x:v>
      </x:c>
      <x:c r="L17" s="46" t="n">
        <x:v>48</x:v>
      </x:c>
      <x:c r="M17" s="52" t="str">
        <x:v>L3</x:v>
      </x:c>
      <x:c r="N17" s="52" t="str">
        <x:v>Mañana</x:v>
      </x:c>
      <x:c r="O17" s="53" t="n">
        <x:f>L17/I17</x:f>
        <x:v>0.03475742215785663</x:v>
      </x:c>
      <x:c r="P17" s="52" t="str">
        <x:f>IF(O17&lt;=2%,"Aceptable","Revisar")</x:f>
        <x:v>Revisar</x:v>
      </x:c>
    </x:row>
    <x:row r="18">
      <x:c r="A18" t="str">
        <x:v>LT-2020-015</x:v>
      </x:c>
      <x:c r="B18" s="44" t="n">
        <x:v>44042</x:v>
      </x:c>
      <x:c r="C18" t="str">
        <x:v>Bogotá</x:v>
      </x:c>
      <x:c r="D18" t="str">
        <x:v>Colombia</x:v>
      </x:c>
      <x:c r="E18" t="str">
        <x:v>SSD-512-N</x:v>
      </x:c>
      <x:c r="F18" t="str">
        <x:v>SSD</x:v>
      </x:c>
      <x:c r="G18" t="str">
        <x:v>L4 | Noche</x:v>
      </x:c>
      <x:c r="H18" t="str">
        <x:v>Jorge Castillo</x:v>
      </x:c>
      <x:c r="I18" s="46" t="n">
        <x:v>1518</x:v>
      </x:c>
      <x:c r="J18" s="48" t="n">
        <x:v>38.22</x:v>
      </x:c>
      <x:c r="K18" s="48" t="n">
        <x:v>58017.96</x:v>
      </x:c>
      <x:c r="L18" s="46" t="n">
        <x:v>17</x:v>
      </x:c>
      <x:c r="M18" s="52" t="str">
        <x:v>L4</x:v>
      </x:c>
      <x:c r="N18" s="52" t="str">
        <x:v>Noche</x:v>
      </x:c>
      <x:c r="O18" s="53" t="n">
        <x:f>L18/I18</x:f>
        <x:v>0.011198945981554678</x:v>
      </x:c>
      <x:c r="P18" s="52" t="str">
        <x:f>IF(O18&lt;=2%,"Aceptable","Revisar")</x:f>
        <x:v>Aceptable</x:v>
      </x:c>
    </x:row>
    <x:row r="19">
      <x:c r="A19" t="str">
        <x:v>LT-2020-016</x:v>
      </x:c>
      <x:c r="B19" s="44" t="n">
        <x:v>44083</x:v>
      </x:c>
      <x:c r="C19" t="str">
        <x:v>Lima</x:v>
      </x:c>
      <x:c r="D19" t="str">
        <x:v>Perú</x:v>
      </x:c>
      <x:c r="E19" t="str">
        <x:v>RAM-16-V</x:v>
      </x:c>
      <x:c r="F19" t="str">
        <x:v>RAM</x:v>
      </x:c>
      <x:c r="G19" t="str">
        <x:v>L1 | Tarde</x:v>
      </x:c>
      <x:c r="H19" t="str">
        <x:v>Mariana Gómez</x:v>
      </x:c>
      <x:c r="I19" s="46" t="n">
        <x:v>1655</x:v>
      </x:c>
      <x:c r="J19" s="48" t="n">
        <x:v>31.62</x:v>
      </x:c>
      <x:c r="K19" s="48" t="n">
        <x:v>52331.1</x:v>
      </x:c>
      <x:c r="L19" s="46" t="n">
        <x:v>30</x:v>
      </x:c>
      <x:c r="M19" s="52" t="str">
        <x:v>L1</x:v>
      </x:c>
      <x:c r="N19" s="52" t="str">
        <x:v>Tarde</x:v>
      </x:c>
      <x:c r="O19" s="53" t="n">
        <x:f>L19/I19</x:f>
        <x:v>0.01812688821752266</x:v>
      </x:c>
      <x:c r="P19" s="52" t="str">
        <x:f>IF(O19&lt;=2%,"Aceptable","Revisar")</x:f>
        <x:v>Aceptable</x:v>
      </x:c>
    </x:row>
    <x:row r="20">
      <x:c r="A20" t="str">
        <x:v>LT-2020-017</x:v>
      </x:c>
      <x:c r="B20" s="44" t="n">
        <x:v>44123</x:v>
      </x:c>
      <x:c r="C20" t="str">
        <x:v>São Paulo</x:v>
      </x:c>
      <x:c r="D20" t="str">
        <x:v>Brasil</x:v>
      </x:c>
      <x:c r="E20" t="str">
        <x:v>SSD-512-N</x:v>
      </x:c>
      <x:c r="F20" t="str">
        <x:v>SSD</x:v>
      </x:c>
      <x:c r="G20" t="str">
        <x:v>L2 | Mañana</x:v>
      </x:c>
      <x:c r="H20" t="str">
        <x:v>Mariana Gómez</x:v>
      </x:c>
      <x:c r="I20" s="46" t="n">
        <x:v>1792</x:v>
      </x:c>
      <x:c r="J20" s="48" t="n">
        <x:v>41.34</x:v>
      </x:c>
      <x:c r="K20" s="48" t="n">
        <x:v>74081.28</x:v>
      </x:c>
      <x:c r="L20" s="46" t="n">
        <x:v>45</x:v>
      </x:c>
      <x:c r="M20" s="52" t="str">
        <x:v>L2</x:v>
      </x:c>
      <x:c r="N20" s="52" t="str">
        <x:v>Mañana</x:v>
      </x:c>
      <x:c r="O20" s="53" t="n">
        <x:f>L20/I20</x:f>
        <x:v>0.025111607142857144</x:v>
      </x:c>
      <x:c r="P20" s="52" t="str">
        <x:f>IF(O20&lt;=2%,"Aceptable","Revisar")</x:f>
        <x:v>Revisar</x:v>
      </x:c>
    </x:row>
    <x:row r="21">
      <x:c r="A21" t="str">
        <x:v>LT-2020-018</x:v>
      </x:c>
      <x:c r="B21" s="44" t="n">
        <x:v>44164</x:v>
      </x:c>
      <x:c r="C21" t="str">
        <x:v>San José</x:v>
      </x:c>
      <x:c r="D21" t="str">
        <x:v>Costa Rica</x:v>
      </x:c>
      <x:c r="E21" t="str">
        <x:v>RAM-16-V</x:v>
      </x:c>
      <x:c r="F21" t="str">
        <x:v>RAM</x:v>
      </x:c>
      <x:c r="G21" t="str">
        <x:v>L3 | Noche</x:v>
      </x:c>
      <x:c r="H21" t="str">
        <x:v>Diego Salazar</x:v>
      </x:c>
      <x:c r="I21" s="46" t="n">
        <x:v>829</x:v>
      </x:c>
      <x:c r="J21" s="48" t="n">
        <x:v>30.07</x:v>
      </x:c>
      <x:c r="K21" s="48" t="n">
        <x:v>24928.03</x:v>
      </x:c>
      <x:c r="L21" s="46" t="n">
        <x:v>27</x:v>
      </x:c>
      <x:c r="M21" s="52" t="str">
        <x:v>L3</x:v>
      </x:c>
      <x:c r="N21" s="52" t="str">
        <x:v>Noche</x:v>
      </x:c>
      <x:c r="O21" s="53" t="n">
        <x:f>L21/I21</x:f>
        <x:v>0.032569360675512665</x:v>
      </x:c>
      <x:c r="P21" s="52" t="str">
        <x:f>IF(O21&lt;=2%,"Aceptable","Revisar")</x:f>
        <x:v>Revisar</x:v>
      </x:c>
    </x:row>
    <x:row r="22">
      <x:c r="A22" t="str">
        <x:v>LT-2020-019</x:v>
      </x:c>
      <x:c r="B22" s="44" t="n">
        <x:v>43845</x:v>
      </x:c>
      <x:c r="C22" t="str">
        <x:v>Monterrey</x:v>
      </x:c>
      <x:c r="D22" t="str">
        <x:v>México</x:v>
      </x:c>
      <x:c r="E22" t="str">
        <x:v>SSD-512-N</x:v>
      </x:c>
      <x:c r="F22" t="str">
        <x:v>SSD</x:v>
      </x:c>
      <x:c r="G22" t="str">
        <x:v>L4 | Tarde</x:v>
      </x:c>
      <x:c r="H22" t="str">
        <x:v>Carla Ribeiro</x:v>
      </x:c>
      <x:c r="I22" s="46" t="n">
        <x:v>966</x:v>
      </x:c>
      <x:c r="J22" s="48" t="n">
        <x:v>39.39</x:v>
      </x:c>
      <x:c r="K22" s="48" t="n">
        <x:v>38050.74</x:v>
      </x:c>
      <x:c r="L22" s="46" t="n">
        <x:v>25</x:v>
      </x:c>
      <x:c r="M22" s="52" t="str">
        <x:v>L4</x:v>
      </x:c>
      <x:c r="N22" s="52" t="str">
        <x:v>Tarde</x:v>
      </x:c>
      <x:c r="O22" s="53" t="n">
        <x:f>L22/I22</x:f>
        <x:v>0.025879917184265012</x:v>
      </x:c>
      <x:c r="P22" s="52" t="str">
        <x:f>IF(O22&lt;=2%,"Aceptable","Revisar")</x:f>
        <x:v>Revisar</x:v>
      </x:c>
    </x:row>
    <x:row r="23">
      <x:c r="A23" t="str">
        <x:v>LT-2020-020</x:v>
      </x:c>
      <x:c r="B23" s="44" t="n">
        <x:v>43885</x:v>
      </x:c>
      <x:c r="C23" t="str">
        <x:v>Guadalajara</x:v>
      </x:c>
      <x:c r="D23" t="str">
        <x:v>México</x:v>
      </x:c>
      <x:c r="E23" t="str">
        <x:v>RAM-16-V</x:v>
      </x:c>
      <x:c r="F23" t="str">
        <x:v>RAM</x:v>
      </x:c>
      <x:c r="G23" t="str">
        <x:v>L1 | Mañana</x:v>
      </x:c>
      <x:c r="H23" t="str">
        <x:v>Luis Mendoza</x:v>
      </x:c>
      <x:c r="I23" s="46" t="n">
        <x:v>1103</x:v>
      </x:c>
      <x:c r="J23" s="48" t="n">
        <x:v>32.55</x:v>
      </x:c>
      <x:c r="K23" s="48" t="n">
        <x:v>35902.65</x:v>
      </x:c>
      <x:c r="L23" s="46" t="n">
        <x:v>17</x:v>
      </x:c>
      <x:c r="M23" s="52" t="str">
        <x:v>L1</x:v>
      </x:c>
      <x:c r="N23" s="52" t="str">
        <x:v>Mañana</x:v>
      </x:c>
      <x:c r="O23" s="53" t="n">
        <x:f>L23/I23</x:f>
        <x:v>0.015412511332728921</x:v>
      </x:c>
      <x:c r="P23" s="52" t="str">
        <x:f>IF(O23&lt;=2%,"Aceptable","Revisar")</x:f>
        <x:v>Aceptable</x:v>
      </x:c>
    </x:row>
    <x:row r="24">
      <x:c r="A24" t="str">
        <x:v>LT-2020-021</x:v>
      </x:c>
      <x:c r="B24" s="44" t="n">
        <x:v>43926</x:v>
      </x:c>
      <x:c r="C24" t="str">
        <x:v>Bogotá</x:v>
      </x:c>
      <x:c r="D24" t="str">
        <x:v>Colombia</x:v>
      </x:c>
      <x:c r="E24" t="str">
        <x:v>SSD-512-N</x:v>
      </x:c>
      <x:c r="F24" t="str">
        <x:v>SSD</x:v>
      </x:c>
      <x:c r="G24" t="str">
        <x:v>L2 | Noche</x:v>
      </x:c>
      <x:c r="H24" t="str">
        <x:v>Luis Mendoza</x:v>
      </x:c>
      <x:c r="I24" s="46" t="n">
        <x:v>1240</x:v>
      </x:c>
      <x:c r="J24" s="48" t="n">
        <x:v>37.44</x:v>
      </x:c>
      <x:c r="K24" s="48" t="n">
        <x:v>46425.6</x:v>
      </x:c>
      <x:c r="L24" s="46" t="n">
        <x:v>27</x:v>
      </x:c>
      <x:c r="M24" s="52" t="str">
        <x:v>L2</x:v>
      </x:c>
      <x:c r="N24" s="52" t="str">
        <x:v>Noche</x:v>
      </x:c>
      <x:c r="O24" s="53" t="n">
        <x:f>L24/I24</x:f>
        <x:v>0.021774193548387097</x:v>
      </x:c>
      <x:c r="P24" s="52" t="str">
        <x:f>IF(O24&lt;=2%,"Aceptable","Revisar")</x:f>
        <x:v>Revisar</x:v>
      </x:c>
    </x:row>
    <x:row r="25">
      <x:c r="A25" t="str">
        <x:v>LT-2020-022</x:v>
      </x:c>
      <x:c r="B25" s="44" t="n">
        <x:v>43967</x:v>
      </x:c>
      <x:c r="C25" t="str">
        <x:v>Lima</x:v>
      </x:c>
      <x:c r="D25" t="str">
        <x:v>Perú</x:v>
      </x:c>
      <x:c r="E25" t="str">
        <x:v>HDD-1TB-A</x:v>
      </x:c>
      <x:c r="F25" t="str">
        <x:v>HDD</x:v>
      </x:c>
      <x:c r="G25" t="str">
        <x:v>L3 | Tarde</x:v>
      </x:c>
      <x:c r="H25" t="str">
        <x:v>Ana Torres</x:v>
      </x:c>
      <x:c r="I25" s="46" t="n">
        <x:v>1377</x:v>
      </x:c>
      <x:c r="J25" s="48" t="n">
        <x:v>31.5</x:v>
      </x:c>
      <x:c r="K25" s="48" t="n">
        <x:v>43375.5</x:v>
      </x:c>
      <x:c r="L25" s="46" t="n">
        <x:v>40</x:v>
      </x:c>
      <x:c r="M25" s="52" t="str">
        <x:v>L3</x:v>
      </x:c>
      <x:c r="N25" s="52" t="str">
        <x:v>Tarde</x:v>
      </x:c>
      <x:c r="O25" s="53" t="n">
        <x:f>L25/I25</x:f>
        <x:v>0.029048656499636893</x:v>
      </x:c>
      <x:c r="P25" s="52" t="str">
        <x:f>IF(O25&lt;=2%,"Aceptable","Revisar")</x:f>
        <x:v>Revisar</x:v>
      </x:c>
    </x:row>
    <x:row r="26">
      <x:c r="A26" t="str">
        <x:v>LT-2020-023</x:v>
      </x:c>
      <x:c r="B26" s="44" t="n">
        <x:v>44007</x:v>
      </x:c>
      <x:c r="C26" t="str">
        <x:v>São Paulo</x:v>
      </x:c>
      <x:c r="D26" t="str">
        <x:v>Brasil</x:v>
      </x:c>
      <x:c r="E26" t="str">
        <x:v>SSD-1TB-N</x:v>
      </x:c>
      <x:c r="F26" t="str">
        <x:v>SSD</x:v>
      </x:c>
      <x:c r="G26" t="str">
        <x:v>L4 | Mañana</x:v>
      </x:c>
      <x:c r="H26" t="str">
        <x:v>Sofía Herrera</x:v>
      </x:c>
      <x:c r="I26" s="46" t="n">
        <x:v>1514</x:v>
      </x:c>
      <x:c r="J26" s="48" t="n">
        <x:v>64.48</x:v>
      </x:c>
      <x:c r="K26" s="48" t="n">
        <x:v>97622.72</x:v>
      </x:c>
      <x:c r="L26" s="46" t="n">
        <x:v>55</x:v>
      </x:c>
      <x:c r="M26" s="52" t="str">
        <x:v>L4</x:v>
      </x:c>
      <x:c r="N26" s="52" t="str">
        <x:v>Mañana</x:v>
      </x:c>
      <x:c r="O26" s="53" t="n">
        <x:f>L26/I26</x:f>
        <x:v>0.03632760898282695</x:v>
      </x:c>
      <x:c r="P26" s="52" t="str">
        <x:f>IF(O26&lt;=2%,"Aceptable","Revisar")</x:f>
        <x:v>Revisar</x:v>
      </x:c>
    </x:row>
    <x:row r="27">
      <x:c r="A27" t="str">
        <x:v>LT-2020-024</x:v>
      </x:c>
      <x:c r="B27" s="44" t="n">
        <x:v>44048</x:v>
      </x:c>
      <x:c r="C27" t="str">
        <x:v>San José</x:v>
      </x:c>
      <x:c r="D27" t="str">
        <x:v>Costa Rica</x:v>
      </x:c>
      <x:c r="E27" t="str">
        <x:v>HDD-1TB-A</x:v>
      </x:c>
      <x:c r="F27" t="str">
        <x:v>HDD</x:v>
      </x:c>
      <x:c r="G27" t="str">
        <x:v>L1 | Noche</x:v>
      </x:c>
      <x:c r="H27" t="str">
        <x:v>Paula Ferreira</x:v>
      </x:c>
      <x:c r="I27" s="46" t="n">
        <x:v>1651</x:v>
      </x:c>
      <x:c r="J27" s="48" t="n">
        <x:v>29.92</x:v>
      </x:c>
      <x:c r="K27" s="48" t="n">
        <x:v>49397.92</x:v>
      </x:c>
      <x:c r="L27" s="46" t="n">
        <x:v>20</x:v>
      </x:c>
      <x:c r="M27" s="52" t="str">
        <x:v>L1</x:v>
      </x:c>
      <x:c r="N27" s="52" t="str">
        <x:v>Noche</x:v>
      </x:c>
      <x:c r="O27" s="53" t="n">
        <x:f>L27/I27</x:f>
        <x:v>0.012113870381586917</x:v>
      </x:c>
      <x:c r="P27" s="52" t="str">
        <x:f>IF(O27&lt;=2%,"Aceptable","Revisar")</x:f>
        <x:v>Aceptable</x:v>
      </x:c>
    </x:row>
    <x:row r="28">
      <x:c r="A28" t="str">
        <x:v>LT-2020-025</x:v>
      </x:c>
      <x:c r="B28" s="44" t="n">
        <x:v>44089</x:v>
      </x:c>
      <x:c r="C28" t="str">
        <x:v>Monterrey</x:v>
      </x:c>
      <x:c r="D28" t="str">
        <x:v>México</x:v>
      </x:c>
      <x:c r="E28" t="str">
        <x:v>SSD-1TB-N</x:v>
      </x:c>
      <x:c r="F28" t="str">
        <x:v>SSD</x:v>
      </x:c>
      <x:c r="G28" t="str">
        <x:v>L2 | Tarde</x:v>
      </x:c>
      <x:c r="H28" t="str">
        <x:v>Paula Ferreira</x:v>
      </x:c>
      <x:c r="I28" s="46" t="n">
        <x:v>1788</x:v>
      </x:c>
      <x:c r="J28" s="48" t="n">
        <x:v>61.38</x:v>
      </x:c>
      <x:c r="K28" s="48" t="n">
        <x:v>109747.44</x:v>
      </x:c>
      <x:c r="L28" s="46" t="n">
        <x:v>34</x:v>
      </x:c>
      <x:c r="M28" s="52" t="str">
        <x:v>L2</x:v>
      </x:c>
      <x:c r="N28" s="52" t="str">
        <x:v>Tarde</x:v>
      </x:c>
      <x:c r="O28" s="53" t="n">
        <x:f>L28/I28</x:f>
        <x:v>0.01901565995525727</x:v>
      </x:c>
      <x:c r="P28" s="52" t="str">
        <x:f>IF(O28&lt;=2%,"Aceptable","Revisar")</x:f>
        <x:v>Aceptable</x:v>
      </x:c>
    </x:row>
    <x:row r="29">
      <x:c r="A29" t="str">
        <x:v>LT-2020-026</x:v>
      </x:c>
      <x:c r="B29" s="44" t="n">
        <x:v>44129</x:v>
      </x:c>
      <x:c r="C29" t="str">
        <x:v>Guadalajara</x:v>
      </x:c>
      <x:c r="D29" t="str">
        <x:v>México</x:v>
      </x:c>
      <x:c r="E29" t="str">
        <x:v>HDD-1TB-A</x:v>
      </x:c>
      <x:c r="F29" t="str">
        <x:v>HDD</x:v>
      </x:c>
      <x:c r="G29" t="str">
        <x:v>L3 | Mañana</x:v>
      </x:c>
      <x:c r="H29" t="str">
        <x:v>Jorge Castillo</x:v>
      </x:c>
      <x:c r="I29" s="46" t="n">
        <x:v>825</x:v>
      </x:c>
      <x:c r="J29" s="48" t="n">
        <x:v>32.45</x:v>
      </x:c>
      <x:c r="K29" s="48" t="n">
        <x:v>26771.25</x:v>
      </x:c>
      <x:c r="L29" s="46" t="n">
        <x:v>21</x:v>
      </x:c>
      <x:c r="M29" s="52" t="str">
        <x:v>L3</x:v>
      </x:c>
      <x:c r="N29" s="52" t="str">
        <x:v>Mañana</x:v>
      </x:c>
      <x:c r="O29" s="53" t="n">
        <x:f>L29/I29</x:f>
        <x:v>0.025454545454545455</x:v>
      </x:c>
      <x:c r="P29" s="52" t="str">
        <x:f>IF(O29&lt;=2%,"Aceptable","Revisar")</x:f>
        <x:v>Revisar</x:v>
      </x:c>
    </x:row>
    <x:row r="30">
      <x:c r="A30" t="str">
        <x:v>LT-2020-027</x:v>
      </x:c>
      <x:c r="B30" s="44" t="n">
        <x:v>44170</x:v>
      </x:c>
      <x:c r="C30" t="str">
        <x:v>Bogotá</x:v>
      </x:c>
      <x:c r="D30" t="str">
        <x:v>Colombia</x:v>
      </x:c>
      <x:c r="E30" t="str">
        <x:v>SSD-1TB-N</x:v>
      </x:c>
      <x:c r="F30" t="str">
        <x:v>SSD</x:v>
      </x:c>
      <x:c r="G30" t="str">
        <x:v>L4 | Noche</x:v>
      </x:c>
      <x:c r="H30" t="str">
        <x:v>Mariana Gómez</x:v>
      </x:c>
      <x:c r="I30" s="46" t="n">
        <x:v>962</x:v>
      </x:c>
      <x:c r="J30" s="48" t="n">
        <x:v>58.28</x:v>
      </x:c>
      <x:c r="K30" s="48" t="n">
        <x:v>56065.36</x:v>
      </x:c>
      <x:c r="L30" s="46" t="n">
        <x:v>32</x:v>
      </x:c>
      <x:c r="M30" s="52" t="str">
        <x:v>L4</x:v>
      </x:c>
      <x:c r="N30" s="52" t="str">
        <x:v>Noche</x:v>
      </x:c>
      <x:c r="O30" s="53" t="n">
        <x:f>L30/I30</x:f>
        <x:v>0.033264033264033266</x:v>
      </x:c>
      <x:c r="P30" s="52" t="str">
        <x:f>IF(O30&lt;=2%,"Aceptable","Revisar")</x:f>
        <x:v>Revisar</x:v>
      </x:c>
    </x:row>
    <x:row r="31">
      <x:c r="A31" t="str">
        <x:v>LT-2020-028</x:v>
      </x:c>
      <x:c r="B31" s="44" t="n">
        <x:v>43851</x:v>
      </x:c>
      <x:c r="C31" t="str">
        <x:v>Lima</x:v>
      </x:c>
      <x:c r="D31" t="str">
        <x:v>Perú</x:v>
      </x:c>
      <x:c r="E31" t="str">
        <x:v>HDD-1TB-A</x:v>
      </x:c>
      <x:c r="F31" t="str">
        <x:v>HDD</x:v>
      </x:c>
      <x:c r="G31" t="str">
        <x:v>L1 | Tarde</x:v>
      </x:c>
      <x:c r="H31" t="str">
        <x:v>Diego Salazar</x:v>
      </x:c>
      <x:c r="I31" s="46" t="n">
        <x:v>1099</x:v>
      </x:c>
      <x:c r="J31" s="48" t="n">
        <x:v>30.87</x:v>
      </x:c>
      <x:c r="K31" s="48" t="n">
        <x:v>33926.13</x:v>
      </x:c>
      <x:c r="L31" s="46" t="n">
        <x:v>10</x:v>
      </x:c>
      <x:c r="M31" s="52" t="str">
        <x:v>L1</x:v>
      </x:c>
      <x:c r="N31" s="52" t="str">
        <x:v>Tarde</x:v>
      </x:c>
      <x:c r="O31" s="53" t="n">
        <x:f>L31/I31</x:f>
        <x:v>0.009099181073703366</x:v>
      </x:c>
      <x:c r="P31" s="52" t="str">
        <x:f>IF(O31&lt;=2%,"Aceptable","Revisar")</x:f>
        <x:v>Aceptable</x:v>
      </x:c>
    </x:row>
    <x:row r="32">
      <x:c r="A32" t="str">
        <x:v>LT-2020-029</x:v>
      </x:c>
      <x:c r="B32" s="44" t="n">
        <x:v>43891</x:v>
      </x:c>
      <x:c r="C32" t="str">
        <x:v>São Paulo</x:v>
      </x:c>
      <x:c r="D32" t="str">
        <x:v>Brasil</x:v>
      </x:c>
      <x:c r="E32" t="str">
        <x:v>RAM-8-V</x:v>
      </x:c>
      <x:c r="F32" t="str">
        <x:v>RAM</x:v>
      </x:c>
      <x:c r="G32" t="str">
        <x:v>L2 | Mañana</x:v>
      </x:c>
      <x:c r="H32" t="str">
        <x:v>Diego Salazar</x:v>
      </x:c>
      <x:c r="I32" s="46" t="n">
        <x:v>1236</x:v>
      </x:c>
      <x:c r="J32" s="48" t="n">
        <x:v>18.87</x:v>
      </x:c>
      <x:c r="K32" s="48" t="n">
        <x:v>23323.32</x:v>
      </x:c>
      <x:c r="L32" s="46" t="n">
        <x:v>20</x:v>
      </x:c>
      <x:c r="M32" s="52" t="str">
        <x:v>L2</x:v>
      </x:c>
      <x:c r="N32" s="52" t="str">
        <x:v>Mañana</x:v>
      </x:c>
      <x:c r="O32" s="53" t="n">
        <x:f>L32/I32</x:f>
        <x:v>0.016181229773462782</x:v>
      </x:c>
      <x:c r="P32" s="52" t="str">
        <x:f>IF(O32&lt;=2%,"Aceptable","Revisar")</x:f>
        <x:v>Aceptable</x:v>
      </x:c>
    </x:row>
    <x:row r="33">
      <x:c r="A33" t="str">
        <x:v>LT-2020-030</x:v>
      </x:c>
      <x:c r="B33" s="44" t="n">
        <x:v>43932</x:v>
      </x:c>
      <x:c r="C33" t="str">
        <x:v>San José</x:v>
      </x:c>
      <x:c r="D33" t="str">
        <x:v>Costa Rica</x:v>
      </x:c>
      <x:c r="E33" t="str">
        <x:v>HDD-2TB-B</x:v>
      </x:c>
      <x:c r="F33" t="str">
        <x:v>HDD</x:v>
      </x:c>
      <x:c r="G33" t="str">
        <x:v>L3 | Noche</x:v>
      </x:c>
      <x:c r="H33" t="str">
        <x:v>Carla Ribeiro</x:v>
      </x:c>
      <x:c r="I33" s="46" t="n">
        <x:v>1373</x:v>
      </x:c>
      <x:c r="J33" s="48" t="n">
        <x:v>47.7</x:v>
      </x:c>
      <x:c r="K33" s="48" t="n">
        <x:v>65492.1</x:v>
      </x:c>
      <x:c r="L33" s="46" t="n">
        <x:v>32</x:v>
      </x:c>
      <x:c r="M33" s="52" t="str">
        <x:v>L3</x:v>
      </x:c>
      <x:c r="N33" s="52" t="str">
        <x:v>Noche</x:v>
      </x:c>
      <x:c r="O33" s="53" t="n">
        <x:f>L33/I33</x:f>
        <x:v>0.023306627822286964</x:v>
      </x:c>
      <x:c r="P33" s="52" t="str">
        <x:f>IF(O33&lt;=2%,"Aceptable","Revisar")</x:f>
        <x:v>Revisar</x:v>
      </x:c>
    </x:row>
    <x:row r="34">
      <x:c r="A34" t="str">
        <x:v>LT-2020-031</x:v>
      </x:c>
      <x:c r="B34" s="44" t="n">
        <x:v>43973</x:v>
      </x:c>
      <x:c r="C34" t="str">
        <x:v>Monterrey</x:v>
      </x:c>
      <x:c r="D34" t="str">
        <x:v>México</x:v>
      </x:c>
      <x:c r="E34" t="str">
        <x:v>RAM-8-V</x:v>
      </x:c>
      <x:c r="F34" t="str">
        <x:v>RAM</x:v>
      </x:c>
      <x:c r="G34" t="str">
        <x:v>L4 | Tarde</x:v>
      </x:c>
      <x:c r="H34" t="str">
        <x:v>Luis Mendoza</x:v>
      </x:c>
      <x:c r="I34" s="46" t="n">
        <x:v>1510</x:v>
      </x:c>
      <x:c r="J34" s="48" t="n">
        <x:v>17.95</x:v>
      </x:c>
      <x:c r="K34" s="48" t="n">
        <x:v>27104.5</x:v>
      </x:c>
      <x:c r="L34" s="46" t="n">
        <x:v>45</x:v>
      </x:c>
      <x:c r="M34" s="52" t="str">
        <x:v>L4</x:v>
      </x:c>
      <x:c r="N34" s="52" t="str">
        <x:v>Tarde</x:v>
      </x:c>
      <x:c r="O34" s="53" t="n">
        <x:f>L34/I34</x:f>
        <x:v>0.029801324503311258</x:v>
      </x:c>
      <x:c r="P34" s="52" t="str">
        <x:f>IF(O34&lt;=2%,"Aceptable","Revisar")</x:f>
        <x:v>Revisar</x:v>
      </x:c>
    </x:row>
    <x:row r="35">
      <x:c r="A35" t="str">
        <x:v>LT-2020-032</x:v>
      </x:c>
      <x:c r="B35" s="44" t="n">
        <x:v>44013</x:v>
      </x:c>
      <x:c r="C35" t="str">
        <x:v>Guadalajara</x:v>
      </x:c>
      <x:c r="D35" t="str">
        <x:v>México</x:v>
      </x:c>
      <x:c r="E35" t="str">
        <x:v>HDD-2TB-B</x:v>
      </x:c>
      <x:c r="F35" t="str">
        <x:v>HDD</x:v>
      </x:c>
      <x:c r="G35" t="str">
        <x:v>L1 | Mañana</x:v>
      </x:c>
      <x:c r="H35" t="str">
        <x:v>Ana Torres</x:v>
      </x:c>
      <x:c r="I35" s="46" t="n">
        <x:v>1647</x:v>
      </x:c>
      <x:c r="J35" s="48" t="n">
        <x:v>45.45</x:v>
      </x:c>
      <x:c r="K35" s="48" t="n">
        <x:v>74856.15</x:v>
      </x:c>
      <x:c r="L35" s="46" t="n">
        <x:v>10</x:v>
      </x:c>
      <x:c r="M35" s="52" t="str">
        <x:v>L1</x:v>
      </x:c>
      <x:c r="N35" s="52" t="str">
        <x:v>Mañana</x:v>
      </x:c>
      <x:c r="O35" s="53" t="n">
        <x:f>L35/I35</x:f>
        <x:v>0.006071645415907711</x:v>
      </x:c>
      <x:c r="P35" s="52" t="str">
        <x:f>IF(O35&lt;=2%,"Aceptable","Revisar")</x:f>
        <x:v>Aceptable</x:v>
      </x:c>
    </x:row>
    <x:row r="36">
      <x:c r="A36" t="str">
        <x:v>LT-2020-033</x:v>
      </x:c>
      <x:c r="B36" s="44" t="n">
        <x:v>44054</x:v>
      </x:c>
      <x:c r="C36" t="str">
        <x:v>Bogotá</x:v>
      </x:c>
      <x:c r="D36" t="str">
        <x:v>Colombia</x:v>
      </x:c>
      <x:c r="E36" t="str">
        <x:v>RAM-8-V</x:v>
      </x:c>
      <x:c r="F36" t="str">
        <x:v>RAM</x:v>
      </x:c>
      <x:c r="G36" t="str">
        <x:v>L2 | Noche</x:v>
      </x:c>
      <x:c r="H36" t="str">
        <x:v>Ana Torres</x:v>
      </x:c>
      <x:c r="I36" s="46" t="n">
        <x:v>1784</x:v>
      </x:c>
      <x:c r="J36" s="48" t="n">
        <x:f>K36/I36</x:f>
        <x:v>19.43</x:v>
      </x:c>
      <x:c r="K36" s="48" t="n">
        <x:v>34663.12</x:v>
      </x:c>
      <x:c r="L36" s="46" t="n">
        <x:v>23</x:v>
      </x:c>
      <x:c r="M36" s="52" t="str">
        <x:v>L2</x:v>
      </x:c>
      <x:c r="N36" s="52" t="str">
        <x:v>Noche</x:v>
      </x:c>
      <x:c r="O36" s="53" t="n">
        <x:f>L36/I36</x:f>
        <x:v>0.01289237668161435</x:v>
      </x:c>
      <x:c r="P36" s="52" t="str">
        <x:f>IF(O36&lt;=2%,"Aceptable","Revisar")</x:f>
        <x:v>Aceptable</x:v>
      </x:c>
    </x:row>
    <x:row r="37">
      <x:c r="A37" t="str">
        <x:v>LT-2020-034</x:v>
      </x:c>
      <x:c r="B37" s="44" t="n">
        <x:v>44095</x:v>
      </x:c>
      <x:c r="C37" t="str">
        <x:v>Lima</x:v>
      </x:c>
      <x:c r="D37" t="str">
        <x:v>Perú</x:v>
      </x:c>
      <x:c r="E37" t="str">
        <x:v>HDD-2TB-B</x:v>
      </x:c>
      <x:c r="F37" t="str">
        <x:v>HDD</x:v>
      </x:c>
      <x:c r="G37" t="str">
        <x:v>L3 | Tarde</x:v>
      </x:c>
      <x:c r="H37" t="str">
        <x:v>Sofía Herrera</x:v>
      </x:c>
      <x:c r="I37" s="46" t="n">
        <x:v>821</x:v>
      </x:c>
      <x:c r="J37" s="48" t="n">
        <x:v>43.2</x:v>
      </x:c>
      <x:c r="K37" s="48" t="n">
        <x:v>35467.2</x:v>
      </x:c>
      <x:c r="L37" s="46" t="n">
        <x:v>16</x:v>
      </x:c>
      <x:c r="M37" s="52" t="str">
        <x:v>L3</x:v>
      </x:c>
      <x:c r="N37" s="52" t="str">
        <x:v>Tarde</x:v>
      </x:c>
      <x:c r="O37" s="53" t="n">
        <x:f>L37/I37</x:f>
        <x:v>0.0194884287454324</x:v>
      </x:c>
      <x:c r="P37" s="52" t="str">
        <x:f>IF(O37&lt;=2%,"Aceptable","Revisar")</x:f>
        <x:v>Aceptable</x:v>
      </x:c>
    </x:row>
    <x:row r="38">
      <x:c r="A38" t="str">
        <x:v>LT-2020-035</x:v>
      </x:c>
      <x:c r="B38" s="44" t="n">
        <x:v>44135</x:v>
      </x:c>
      <x:c r="C38" t="str">
        <x:v>São Paulo</x:v>
      </x:c>
      <x:c r="D38" t="str">
        <x:v>Brasil</x:v>
      </x:c>
      <x:c r="E38" t="str">
        <x:v>RAM-8-V</x:v>
      </x:c>
      <x:c r="F38" t="str">
        <x:v>RAM</x:v>
      </x:c>
      <x:c r="G38" t="str">
        <x:v>L4 | Mañana</x:v>
      </x:c>
      <x:c r="H38" t="str">
        <x:v>Paula Ferreira</x:v>
      </x:c>
      <x:c r="I38" s="46" t="n">
        <x:v>958</x:v>
      </x:c>
      <x:c r="J38" s="48" t="n">
        <x:v>18.5</x:v>
      </x:c>
      <x:c r="K38" s="48" t="n">
        <x:v>17723</x:v>
      </x:c>
      <x:c r="L38" s="46" t="n">
        <x:v>26</x:v>
      </x:c>
      <x:c r="M38" s="52" t="str">
        <x:v>L4</x:v>
      </x:c>
      <x:c r="N38" s="52" t="str">
        <x:v>Mañana</x:v>
      </x:c>
      <x:c r="O38" s="53" t="n">
        <x:f>L38/I38</x:f>
        <x:v>0.027139874739039668</x:v>
      </x:c>
      <x:c r="P38" s="52" t="str">
        <x:f>IF(O38&lt;=2%,"Aceptable","Revisar")</x:f>
        <x:v>Revisar</x:v>
      </x:c>
    </x:row>
    <x:row r="39">
      <x:c r="A39" t="str">
        <x:v>LT-2020-036</x:v>
      </x:c>
      <x:c r="B39" s="44" t="n">
        <x:v>44176</x:v>
      </x:c>
      <x:c r="C39" t="str">
        <x:v>San José</x:v>
      </x:c>
      <x:c r="D39" t="str">
        <x:v>Costa Rica</x:v>
      </x:c>
      <x:c r="E39" t="str">
        <x:v>SSD-512-N</x:v>
      </x:c>
      <x:c r="F39" t="str">
        <x:v>SSD</x:v>
      </x:c>
      <x:c r="G39" t="str">
        <x:v>L1 | Noche</x:v>
      </x:c>
      <x:c r="H39" t="str">
        <x:v>Jorge Castillo</x:v>
      </x:c>
      <x:c r="I39" s="46" t="n">
        <x:v>1095</x:v>
      </x:c>
      <x:c r="J39" s="48" t="n">
        <x:v>40.56</x:v>
      </x:c>
      <x:c r="K39" s="48" t="n">
        <x:v>44413.2</x:v>
      </x:c>
      <x:c r="L39" s="46" t="n">
        <x:v>37</x:v>
      </x:c>
      <x:c r="M39" s="52" t="str">
        <x:v>L1</x:v>
      </x:c>
      <x:c r="N39" s="52" t="str">
        <x:v>Noche</x:v>
      </x:c>
      <x:c r="O39" s="53" t="n">
        <x:f>L39/I39</x:f>
        <x:v>0.033789954337899546</x:v>
      </x:c>
      <x:c r="P39" s="52" t="str">
        <x:f>IF(O39&lt;=2%,"Aceptable","Revisar")</x:f>
        <x:v>Revisar</x:v>
      </x:c>
    </x:row>
    <x:row r="40">
      <x:c r="A40" t="str">
        <x:v>LT-2020-037</x:v>
      </x:c>
      <x:c r="B40" s="44" t="n">
        <x:v>43857</x:v>
      </x:c>
      <x:c r="C40" t="str">
        <x:v>Monterrey</x:v>
      </x:c>
      <x:c r="D40" t="str">
        <x:v>México</x:v>
      </x:c>
      <x:c r="E40" t="str">
        <x:v>RAM-16-V</x:v>
      </x:c>
      <x:c r="F40" t="str">
        <x:v>RAM</x:v>
      </x:c>
      <x:c r="G40" t="str">
        <x:v>L2 | Tarde</x:v>
      </x:c>
      <x:c r="H40" t="str">
        <x:v>Jorge Castillo</x:v>
      </x:c>
      <x:c r="I40" s="46" t="n">
        <x:v>1232</x:v>
      </x:c>
      <x:c r="J40" s="48" t="n">
        <x:v>29.45</x:v>
      </x:c>
      <x:c r="K40" s="48" t="n">
        <x:v>36282.4</x:v>
      </x:c>
      <x:c r="L40" s="46" t="n">
        <x:v>12</x:v>
      </x:c>
      <x:c r="M40" s="52" t="str">
        <x:v>L2</x:v>
      </x:c>
      <x:c r="N40" s="52" t="str">
        <x:v>Tarde</x:v>
      </x:c>
      <x:c r="O40" s="53" t="n">
        <x:f>L40/I40</x:f>
        <x:v>0.00974025974025974</x:v>
      </x:c>
      <x:c r="P40" s="52" t="str">
        <x:f>IF(O40&lt;=2%,"Aceptable","Revisar")</x:f>
        <x:v>Aceptable</x:v>
      </x:c>
    </x:row>
    <x:row r="41">
      <x:c r="A41" t="str">
        <x:v>LT-2020-038</x:v>
      </x:c>
      <x:c r="B41" s="44" t="n">
        <x:v>43897</x:v>
      </x:c>
      <x:c r="C41" t="str">
        <x:v>Guadalajara</x:v>
      </x:c>
      <x:c r="D41" t="str">
        <x:v>México</x:v>
      </x:c>
      <x:c r="E41" t="str">
        <x:v>SSD-512-N</x:v>
      </x:c>
      <x:c r="F41" t="str">
        <x:v>SSD</x:v>
      </x:c>
      <x:c r="G41" t="str">
        <x:v>L3 | Mañana</x:v>
      </x:c>
      <x:c r="H41" t="str">
        <x:v>Mariana Gómez</x:v>
      </x:c>
      <x:c r="I41" s="46" t="n">
        <x:v>1369</x:v>
      </x:c>
      <x:c r="J41" s="48" t="n">
        <x:v>38.61</x:v>
      </x:c>
      <x:c r="K41" s="48" t="n">
        <x:v>52857.09</x:v>
      </x:c>
      <x:c r="L41" s="46" t="n">
        <x:v>23</x:v>
      </x:c>
      <x:c r="M41" s="52" t="str">
        <x:v>L3</x:v>
      </x:c>
      <x:c r="N41" s="52" t="str">
        <x:v>Mañana</x:v>
      </x:c>
      <x:c r="O41" s="53" t="n">
        <x:f>L41/I41</x:f>
        <x:v>0.016800584368151936</x:v>
      </x:c>
      <x:c r="P41" s="52" t="str">
        <x:f>IF(O41&lt;=2%,"Aceptable","Revisar")</x:f>
        <x:v>Aceptable</x:v>
      </x:c>
    </x:row>
    <x:row r="42">
      <x:c r="A42" t="str">
        <x:v>LT-2020-039</x:v>
      </x:c>
      <x:c r="B42" s="44" t="n">
        <x:v>43938</x:v>
      </x:c>
      <x:c r="C42" t="str">
        <x:v>Bogotá</x:v>
      </x:c>
      <x:c r="D42" t="str">
        <x:v>Colombia</x:v>
      </x:c>
      <x:c r="E42" t="str">
        <x:v>RAM-16-V</x:v>
      </x:c>
      <x:c r="F42" t="str">
        <x:v>RAM</x:v>
      </x:c>
      <x:c r="G42" t="str">
        <x:v>L4 | Noche</x:v>
      </x:c>
      <x:c r="H42" t="str">
        <x:v>Diego Salazar</x:v>
      </x:c>
      <x:c r="I42" s="46" t="n">
        <x:v>1506</x:v>
      </x:c>
      <x:c r="J42" s="48" t="n">
        <x:v>31.93</x:v>
      </x:c>
      <x:c r="K42" s="48" t="n">
        <x:v>48086.58</x:v>
      </x:c>
      <x:c r="L42" s="46" t="n">
        <x:v>36</x:v>
      </x:c>
      <x:c r="M42" s="52" t="str">
        <x:v>L4</x:v>
      </x:c>
      <x:c r="N42" s="52" t="str">
        <x:v>Noche</x:v>
      </x:c>
      <x:c r="O42" s="53" t="n">
        <x:f>L42/I42</x:f>
        <x:v>0.02390438247011952</x:v>
      </x:c>
      <x:c r="P42" s="52" t="str">
        <x:f>IF(O42&lt;=2%,"Aceptable","Revisar")</x:f>
        <x:v>Revisar</x:v>
      </x:c>
    </x:row>
    <x:row r="43">
      <x:c r="A43" t="str">
        <x:v>LT-2020-040</x:v>
      </x:c>
      <x:c r="B43" s="44" t="n">
        <x:v>43979</x:v>
      </x:c>
      <x:c r="C43" t="str">
        <x:v>Lima</x:v>
      </x:c>
      <x:c r="D43" t="str">
        <x:v>Perú</x:v>
      </x:c>
      <x:c r="E43" t="str">
        <x:v>SSD-512-N</x:v>
      </x:c>
      <x:c r="F43" t="str">
        <x:v>SSD</x:v>
      </x:c>
      <x:c r="G43" t="str">
        <x:v>L1 | Tarde</x:v>
      </x:c>
      <x:c r="H43" t="str">
        <x:v>Carla Ribeiro</x:v>
      </x:c>
      <x:c r="I43" s="46" t="n">
        <x:v>1643</x:v>
      </x:c>
      <x:c r="J43" s="48" t="n">
        <x:v>36.66</x:v>
      </x:c>
      <x:c r="K43" s="48" t="n">
        <x:f>I43*J43</x:f>
        <x:v>60232.38</x:v>
      </x:c>
      <x:c r="L43" s="46" t="n">
        <x:v>51</x:v>
      </x:c>
      <x:c r="M43" s="52" t="str">
        <x:v>L1</x:v>
      </x:c>
      <x:c r="N43" s="52" t="str">
        <x:v>Tarde</x:v>
      </x:c>
      <x:c r="O43" s="53" t="n">
        <x:f>L43/I43</x:f>
        <x:v>0.0310407790626902</x:v>
      </x:c>
      <x:c r="P43" s="52" t="str">
        <x:f>IF(O43&lt;=2%,"Aceptable","Revisar")</x:f>
        <x:v>Revisar</x:v>
      </x:c>
    </x:row>
    <x:row r="44">
      <x:c r="A44" t="str">
        <x:v>LT-2020-041</x:v>
      </x:c>
      <x:c r="B44" s="44" t="n">
        <x:v>44019</x:v>
      </x:c>
      <x:c r="C44" t="str">
        <x:v>São Paulo</x:v>
      </x:c>
      <x:c r="D44" t="str">
        <x:v>Brasil</x:v>
      </x:c>
      <x:c r="E44" t="str">
        <x:v>RAM-16-V</x:v>
      </x:c>
      <x:c r="F44" t="str">
        <x:v>RAM</x:v>
      </x:c>
      <x:c r="G44" t="str">
        <x:v>L2 | Mañana</x:v>
      </x:c>
      <x:c r="H44" t="str">
        <x:v>Carla Ribeiro</x:v>
      </x:c>
      <x:c r="I44" s="46" t="n">
        <x:v>1780</x:v>
      </x:c>
      <x:c r="J44" s="48" t="n">
        <x:v>30.38</x:v>
      </x:c>
      <x:c r="K44" s="48" t="n">
        <x:v>54076.4</x:v>
      </x:c>
      <x:c r="L44" s="46" t="n">
        <x:v>12</x:v>
      </x:c>
      <x:c r="M44" s="52" t="str">
        <x:v>L2</x:v>
      </x:c>
      <x:c r="N44" s="52" t="str">
        <x:v>Mañana</x:v>
      </x:c>
      <x:c r="O44" s="53" t="n">
        <x:f>L44/I44</x:f>
        <x:v>0.006741573033707865</x:v>
      </x:c>
      <x:c r="P44" s="52" t="str">
        <x:f>IF(O44&lt;=2%,"Aceptable","Revisar")</x:f>
        <x:v>Aceptable</x:v>
      </x:c>
    </x:row>
    <x:row r="45">
      <x:c r="A45" t="str">
        <x:v>LT-2020-042</x:v>
      </x:c>
      <x:c r="B45" s="44" t="n">
        <x:v>44060</x:v>
      </x:c>
      <x:c r="C45" t="str">
        <x:v>San José</x:v>
      </x:c>
      <x:c r="D45" t="str">
        <x:v>Costa Rica</x:v>
      </x:c>
      <x:c r="E45" t="str">
        <x:v>SSD-512-N</x:v>
      </x:c>
      <x:c r="F45" t="str">
        <x:v>SSD</x:v>
      </x:c>
      <x:c r="G45" t="str">
        <x:v>L3 | Noche</x:v>
      </x:c>
      <x:c r="H45" t="str">
        <x:v>Luis Mendoza</x:v>
      </x:c>
      <x:c r="I45" s="46" t="n">
        <x:v>817</x:v>
      </x:c>
      <x:c r="J45" s="48" t="n">
        <x:v>39.78</x:v>
      </x:c>
      <x:c r="K45" s="48" t="n">
        <x:v>32500.26</x:v>
      </x:c>
      <x:c r="L45" s="46" t="n">
        <x:v>11</x:v>
      </x:c>
      <x:c r="M45" s="52" t="str">
        <x:v>L3</x:v>
      </x:c>
      <x:c r="N45" s="52" t="str">
        <x:v>Noche</x:v>
      </x:c>
      <x:c r="O45" s="53" t="n">
        <x:f>L45/I45</x:f>
        <x:v>0.01346389228886169</x:v>
      </x:c>
      <x:c r="P45" s="52" t="str">
        <x:f>IF(O45&lt;=2%,"Aceptable","Revisar")</x:f>
        <x:v>Aceptable</x:v>
      </x:c>
    </x:row>
    <x:row r="46">
      <x:c r="A46" t="str">
        <x:v>LT-2020-043</x:v>
      </x:c>
      <x:c r="B46" s="44" t="n">
        <x:v>44101</x:v>
      </x:c>
      <x:c r="C46" t="str">
        <x:v>Monterrey</x:v>
      </x:c>
      <x:c r="D46" t="str">
        <x:v>México</x:v>
      </x:c>
      <x:c r="E46" t="str">
        <x:v>HDD-1TB-A</x:v>
      </x:c>
      <x:c r="F46" t="str">
        <x:v>HDD</x:v>
      </x:c>
      <x:c r="G46" t="str">
        <x:v>L4 | Tarde</x:v>
      </x:c>
      <x:c r="H46" t="str">
        <x:v>Ana Torres</x:v>
      </x:c>
      <x:c r="I46" s="46" t="n">
        <x:v>954</x:v>
      </x:c>
      <x:c r="J46" s="48" t="n">
        <x:v>33.39</x:v>
      </x:c>
      <x:c r="K46" s="48" t="n">
        <x:v>31854.06</x:v>
      </x:c>
      <x:c r="L46" s="46" t="n">
        <x:v>20</x:v>
      </x:c>
      <x:c r="M46" s="52" t="str">
        <x:v>L4</x:v>
      </x:c>
      <x:c r="N46" s="52" t="str">
        <x:v>Tarde</x:v>
      </x:c>
      <x:c r="O46" s="53" t="n">
        <x:f>L46/I46</x:f>
        <x:v>0.020964360587002098</x:v>
      </x:c>
      <x:c r="P46" s="52" t="str">
        <x:f>IF(O46&lt;=2%,"Aceptable","Revisar")</x:f>
        <x:v>Revisar</x:v>
      </x:c>
    </x:row>
    <x:row r="47">
      <x:c r="A47" t="str">
        <x:v>LT-2020-044</x:v>
      </x:c>
      <x:c r="B47" s="44" t="n">
        <x:v>44141</x:v>
      </x:c>
      <x:c r="C47" t="str">
        <x:v>Guadalajara</x:v>
      </x:c>
      <x:c r="D47" t="str">
        <x:v>México</x:v>
      </x:c>
      <x:c r="E47" t="str">
        <x:v>SSD-1TB-N</x:v>
      </x:c>
      <x:c r="F47" t="str">
        <x:v>SSD</x:v>
      </x:c>
      <x:c r="G47" t="str">
        <x:v>L1 | Mañana</x:v>
      </x:c>
      <x:c r="H47" t="str">
        <x:v>Sofía Herrera</x:v>
      </x:c>
      <x:c r="I47" s="46" t="n">
        <x:v>1091</x:v>
      </x:c>
      <x:c r="J47" s="48" t="n">
        <x:v>60.14</x:v>
      </x:c>
      <x:c r="K47" s="48" t="n">
        <x:v>65612.74</x:v>
      </x:c>
      <x:c r="L47" s="46" t="n">
        <x:v>31</x:v>
      </x:c>
      <x:c r="M47" s="52" t="str">
        <x:v>L1</x:v>
      </x:c>
      <x:c r="N47" s="52" t="str">
        <x:v>Mañana</x:v>
      </x:c>
      <x:c r="O47" s="53" t="n">
        <x:f>L47/I47</x:f>
        <x:v>0.02841429880843263</x:v>
      </x:c>
      <x:c r="P47" s="52" t="str">
        <x:f>IF(O47&lt;=2%,"Aceptable","Revisar")</x:f>
        <x:v>Revisar</x:v>
      </x:c>
    </x:row>
    <x:row r="48">
      <x:c r="A48" t="str">
        <x:v>LT-2020-045</x:v>
      </x:c>
      <x:c r="B48" s="44" t="n">
        <x:v>44182</x:v>
      </x:c>
      <x:c r="C48" t="str">
        <x:v>Bogotá</x:v>
      </x:c>
      <x:c r="D48" t="str">
        <x:v>Colombia</x:v>
      </x:c>
      <x:c r="E48" t="str">
        <x:v>HDD-1TB-A</x:v>
      </x:c>
      <x:c r="F48" t="str">
        <x:v>HDD</x:v>
      </x:c>
      <x:c r="G48" t="str">
        <x:v>L2 | Noche</x:v>
      </x:c>
      <x:c r="H48" t="str">
        <x:v>Sofía Herrera</x:v>
      </x:c>
      <x:c r="I48" s="46" t="n">
        <x:v>1228</x:v>
      </x:c>
      <x:c r="J48" s="48" t="n">
        <x:v>31.82</x:v>
      </x:c>
      <x:c r="K48" s="48" t="n">
        <x:v>39074.96</x:v>
      </x:c>
      <x:c r="L48" s="46" t="n">
        <x:v>43</x:v>
      </x:c>
      <x:c r="M48" s="52" t="str">
        <x:v>L2</x:v>
      </x:c>
      <x:c r="N48" s="52" t="str">
        <x:v>Noche</x:v>
      </x:c>
      <x:c r="O48" s="53" t="n">
        <x:f>L48/I48</x:f>
        <x:v>0.03501628664495114</x:v>
      </x:c>
      <x:c r="P48" s="52" t="str">
        <x:f>IF(O48&lt;=2%,"Aceptable","Revisar")</x:f>
        <x:v>Revisar</x:v>
      </x:c>
    </x:row>
    <x:row r="49">
      <x:c r="A49" t="str">
        <x:v>LT-2020-046</x:v>
      </x:c>
      <x:c r="B49" s="44" t="n">
        <x:v>43863</x:v>
      </x:c>
      <x:c r="C49" t="str">
        <x:v>Lima</x:v>
      </x:c>
      <x:c r="D49" t="str">
        <x:v>Perú</x:v>
      </x:c>
      <x:c r="E49" t="str">
        <x:v>SSD-1TB-N</x:v>
      </x:c>
      <x:c r="F49" t="str">
        <x:v>SSD</x:v>
      </x:c>
      <x:c r="G49" t="str">
        <x:v>L3 | Tarde</x:v>
      </x:c>
      <x:c r="H49" t="str">
        <x:v>Paula Ferreira</x:v>
      </x:c>
      <x:c r="I49" s="46" t="n">
        <x:v>1365</x:v>
      </x:c>
      <x:c r="J49" s="48" t="n">
        <x:v>65.1</x:v>
      </x:c>
      <x:c r="K49" s="48" t="n">
        <x:v>88861.5</x:v>
      </x:c>
      <x:c r="L49" s="46" t="n">
        <x:v>15</x:v>
      </x:c>
      <x:c r="M49" s="52" t="str">
        <x:v>L3</x:v>
      </x:c>
      <x:c r="N49" s="52" t="str">
        <x:v>Tarde</x:v>
      </x:c>
      <x:c r="O49" s="53" t="n">
        <x:f>L49/I49</x:f>
        <x:v>0.01098901098901099</x:v>
      </x:c>
      <x:c r="P49" s="52" t="str">
        <x:f>IF(O49&lt;=2%,"Aceptable","Revisar")</x:f>
        <x:v>Aceptable</x:v>
      </x:c>
    </x:row>
    <x:row r="50">
      <x:c r="A50" t="str">
        <x:v>LT-2020-047</x:v>
      </x:c>
      <x:c r="B50" s="44" t="n">
        <x:v>43903</x:v>
      </x:c>
      <x:c r="C50" t="str">
        <x:v>São Paulo</x:v>
      </x:c>
      <x:c r="D50" t="str">
        <x:v>Brasil</x:v>
      </x:c>
      <x:c r="E50" t="str">
        <x:v>HDD-1TB-A</x:v>
      </x:c>
      <x:c r="F50" t="str">
        <x:v>HDD</x:v>
      </x:c>
      <x:c r="G50" t="str">
        <x:v>L4 | Mañana</x:v>
      </x:c>
      <x:c r="H50" t="str">
        <x:v>Jorge Castillo</x:v>
      </x:c>
      <x:c r="I50" s="46" t="n">
        <x:v>1502</x:v>
      </x:c>
      <x:c r="J50" s="48" t="n">
        <x:v>30.24</x:v>
      </x:c>
      <x:c r="K50" s="48" t="n">
        <x:v>45420.48</x:v>
      </x:c>
      <x:c r="L50" s="46" t="n">
        <x:v>25</x:v>
      </x:c>
      <x:c r="M50" s="52" t="str">
        <x:v>L4</x:v>
      </x:c>
      <x:c r="N50" s="52" t="str">
        <x:v>Mañana</x:v>
      </x:c>
      <x:c r="O50" s="53" t="n">
        <x:f>L50/I50</x:f>
        <x:v>0.016644474034620507</x:v>
      </x:c>
      <x:c r="P50" s="52" t="str">
        <x:f>IF(O50&lt;=2%,"Aceptable","Revisar")</x:f>
        <x:v>Aceptable</x:v>
      </x:c>
    </x:row>
    <x:row r="51">
      <x:c r="A51" t="str">
        <x:v>LT-2020-048</x:v>
      </x:c>
      <x:c r="B51" s="44" t="n">
        <x:v>43944</x:v>
      </x:c>
      <x:c r="C51" t="str">
        <x:v>San José</x:v>
      </x:c>
      <x:c r="D51" t="str">
        <x:v>Costa Rica</x:v>
      </x:c>
      <x:c r="E51" t="str">
        <x:v>SSD-1TB-N</x:v>
      </x:c>
      <x:c r="F51" t="str">
        <x:v>SSD</x:v>
      </x:c>
      <x:c r="G51" t="str">
        <x:v>L1 | Noche</x:v>
      </x:c>
      <x:c r="H51" t="str">
        <x:v>Mariana Gómez</x:v>
      </x:c>
      <x:c r="I51" s="46" t="n">
        <x:v>1639</x:v>
      </x:c>
      <x:c r="J51" s="48" t="n">
        <x:v>62</x:v>
      </x:c>
      <x:c r="K51" s="48" t="n">
        <x:v>101618</x:v>
      </x:c>
      <x:c r="L51" s="46" t="n">
        <x:v>41</x:v>
      </x:c>
      <x:c r="M51" s="52" t="str">
        <x:v>L1</x:v>
      </x:c>
      <x:c r="N51" s="52" t="str">
        <x:v>Noche</x:v>
      </x:c>
      <x:c r="O51" s="53" t="n">
        <x:f>L51/I51</x:f>
        <x:v>0.025015253203172667</x:v>
      </x:c>
      <x:c r="P51" s="52" t="str">
        <x:f>IF(O51&lt;=2%,"Aceptable","Revisar")</x:f>
        <x:v>Revisar</x:v>
      </x:c>
    </x:row>
    <x:row r="52">
      <x:c r="A52" t="str">
        <x:v>LT-2020-049</x:v>
      </x:c>
      <x:c r="B52" s="44" t="n">
        <x:v>43985</x:v>
      </x:c>
      <x:c r="C52" t="str">
        <x:v>Monterrey</x:v>
      </x:c>
      <x:c r="D52" t="str">
        <x:v>México</x:v>
      </x:c>
      <x:c r="E52" t="str">
        <x:v>HDD-1TB-A</x:v>
      </x:c>
      <x:c r="F52" t="str">
        <x:v>HDD</x:v>
      </x:c>
      <x:c r="G52" t="str">
        <x:v>L2 | Tarde</x:v>
      </x:c>
      <x:c r="H52" t="str">
        <x:v>Mariana Gómez</x:v>
      </x:c>
      <x:c r="I52" s="46" t="n">
        <x:v>1776</x:v>
      </x:c>
      <x:c r="J52" s="48" t="n">
        <x:v>32.76</x:v>
      </x:c>
      <x:c r="K52" s="48" t="n">
        <x:v>58181.76</x:v>
      </x:c>
      <x:c r="L52" s="46" t="n">
        <x:v>57</x:v>
      </x:c>
      <x:c r="M52" s="52" t="str">
        <x:v>L2</x:v>
      </x:c>
      <x:c r="N52" s="52" t="str">
        <x:v>Tarde</x:v>
      </x:c>
      <x:c r="O52" s="53" t="n">
        <x:f>L52/I52</x:f>
        <x:v>0.03209459459459459</x:v>
      </x:c>
      <x:c r="P52" s="52" t="str">
        <x:f>IF(O52&lt;=2%,"Aceptable","Revisar")</x:f>
        <x:v>Revisar</x:v>
      </x:c>
    </x:row>
    <x:row r="53">
      <x:c r="A53" t="str">
        <x:v>LT-2020-050</x:v>
      </x:c>
      <x:c r="B53" s="44" t="n">
        <x:v>44025</x:v>
      </x:c>
      <x:c r="C53" t="str">
        <x:v>Guadalajara</x:v>
      </x:c>
      <x:c r="D53" t="str">
        <x:v>México</x:v>
      </x:c>
      <x:c r="E53" t="str">
        <x:v>RAM-8-V</x:v>
      </x:c>
      <x:c r="F53" t="str">
        <x:v>RAM</x:v>
      </x:c>
      <x:c r="G53" t="str">
        <x:v>L3 | Mañana</x:v>
      </x:c>
      <x:c r="H53" t="str">
        <x:v>Diego Salazar</x:v>
      </x:c>
      <x:c r="I53" s="46" t="n">
        <x:v>813</x:v>
      </x:c>
      <x:c r="J53" s="48" t="n">
        <x:v>17.57</x:v>
      </x:c>
      <x:c r="K53" s="48" t="n">
        <x:v>14284.41</x:v>
      </x:c>
      <x:c r="L53" s="46" t="n">
        <x:v>7</x:v>
      </x:c>
      <x:c r="M53" s="52" t="str">
        <x:v>L3</x:v>
      </x:c>
      <x:c r="N53" s="52" t="str">
        <x:v>Mañana</x:v>
      </x:c>
      <x:c r="O53" s="53" t="n">
        <x:f>L53/I53</x:f>
        <x:v>0.008610086100861008</x:v>
      </x:c>
      <x:c r="P53" s="52" t="str">
        <x:f>IF(O53&lt;=2%,"Aceptable","Revisar")</x:f>
        <x:v>Aceptable</x:v>
      </x:c>
    </x:row>
    <x:row r="54">
      <x:c r="A54" t="str">
        <x:v>LT-2020-051</x:v>
      </x:c>
      <x:c r="B54" s="44" t="n">
        <x:v>44066</x:v>
      </x:c>
      <x:c r="C54" t="str">
        <x:v>Bogotá</x:v>
      </x:c>
      <x:c r="D54" t="str">
        <x:v>Colombia</x:v>
      </x:c>
      <x:c r="E54" t="str">
        <x:v>HDD-2TB-B</x:v>
      </x:c>
      <x:c r="F54" t="str">
        <x:v>HDD</x:v>
      </x:c>
      <x:c r="G54" t="str">
        <x:v>L4 | Noche</x:v>
      </x:c>
      <x:c r="H54" t="str">
        <x:v>Carla Ribeiro</x:v>
      </x:c>
      <x:c r="I54" s="46" t="n">
        <x:v>950</x:v>
      </x:c>
      <x:c r="J54" s="48" t="n">
        <x:v>44.55</x:v>
      </x:c>
      <x:c r="K54" s="48" t="n">
        <x:v>42322.5</x:v>
      </x:c>
      <x:c r="L54" s="46" t="n">
        <x:v>14</x:v>
      </x:c>
      <x:c r="M54" s="52" t="str">
        <x:v>L4</x:v>
      </x:c>
      <x:c r="N54" s="52" t="str">
        <x:v>Noche</x:v>
      </x:c>
      <x:c r="O54" s="53" t="n">
        <x:f>L54/I54</x:f>
        <x:v>0.014736842105263158</x:v>
      </x:c>
      <x:c r="P54" s="52" t="str">
        <x:f>IF(O54&lt;=2%,"Aceptable","Revisar")</x:f>
        <x:v>Aceptable</x:v>
      </x:c>
    </x:row>
    <x:row r="55">
      <x:c r="A55" t="str">
        <x:v>LT-2020-052</x:v>
      </x:c>
      <x:c r="B55" s="44" t="n">
        <x:v>44107</x:v>
      </x:c>
      <x:c r="C55" t="str">
        <x:v>Lima</x:v>
      </x:c>
      <x:c r="D55" t="str">
        <x:v>Perú</x:v>
      </x:c>
      <x:c r="E55" t="str">
        <x:v>RAM-8-V</x:v>
      </x:c>
      <x:c r="F55" t="str">
        <x:v>RAM</x:v>
      </x:c>
      <x:c r="G55" t="str">
        <x:v>L1 | Tarde</x:v>
      </x:c>
      <x:c r="H55" t="str">
        <x:v>Luis Mendoza</x:v>
      </x:c>
      <x:c r="I55" s="46" t="n">
        <x:v>1087</x:v>
      </x:c>
      <x:c r="J55" s="48" t="n">
        <x:v>19.05</x:v>
      </x:c>
      <x:c r="K55" s="48" t="n">
        <x:v>20707.35</x:v>
      </x:c>
      <x:c r="L55" s="46" t="n">
        <x:v>24</x:v>
      </x:c>
      <x:c r="M55" s="52" t="str">
        <x:v>L1</x:v>
      </x:c>
      <x:c r="N55" s="52" t="str">
        <x:v>Tarde</x:v>
      </x:c>
      <x:c r="O55" s="53" t="n">
        <x:f>L55/I55</x:f>
        <x:v>0.02207911683532659</x:v>
      </x:c>
      <x:c r="P55" s="52" t="str">
        <x:f>IF(O55&lt;=2%,"Aceptable","Revisar")</x:f>
        <x:v>Revisar</x:v>
      </x:c>
    </x:row>
    <x:row r="56">
      <x:c r="A56" t="str">
        <x:v>LT-2020-053</x:v>
      </x:c>
      <x:c r="B56" s="44" t="n">
        <x:v>44147</x:v>
      </x:c>
      <x:c r="C56" t="str">
        <x:v>São Paulo</x:v>
      </x:c>
      <x:c r="D56" t="str">
        <x:v>Brasil</x:v>
      </x:c>
      <x:c r="E56" t="str">
        <x:v>HDD-2TB-B</x:v>
      </x:c>
      <x:c r="F56" t="str">
        <x:v>HDD</x:v>
      </x:c>
      <x:c r="G56" t="str">
        <x:v>L2 | Mañana</x:v>
      </x:c>
      <x:c r="H56" t="str">
        <x:v>Luis Mendoza</x:v>
      </x:c>
      <x:c r="I56" s="46" t="n">
        <x:v>1224</x:v>
      </x:c>
      <x:c r="J56" s="48" t="n">
        <x:v>42.3</x:v>
      </x:c>
      <x:c r="K56" s="48" t="n">
        <x:v>51775.2</x:v>
      </x:c>
      <x:c r="L56" s="46" t="n">
        <x:v>35</x:v>
      </x:c>
      <x:c r="M56" s="52" t="str">
        <x:v>L2</x:v>
      </x:c>
      <x:c r="N56" s="52" t="str">
        <x:v>Mañana</x:v>
      </x:c>
      <x:c r="O56" s="53" t="n">
        <x:f>L56/I56</x:f>
        <x:v>0.028594771241830064</x:v>
      </x:c>
      <x:c r="P56" s="52" t="str">
        <x:f>IF(O56&lt;=2%,"Aceptable","Revisar")</x:f>
        <x:v>Revisar</x:v>
      </x:c>
    </x:row>
    <x:row r="57">
      <x:c r="A57" t="str">
        <x:v>LT-2020-054</x:v>
      </x:c>
      <x:c r="B57" s="44" t="n">
        <x:v>44188</x:v>
      </x:c>
      <x:c r="C57" t="str">
        <x:v>San José</x:v>
      </x:c>
      <x:c r="D57" t="str">
        <x:v>Costa Rica</x:v>
      </x:c>
      <x:c r="E57" t="str">
        <x:v>RAM-8-V</x:v>
      </x:c>
      <x:c r="F57" t="str">
        <x:v>RAM</x:v>
      </x:c>
      <x:c r="G57" t="str">
        <x:v>L3 | Noche</x:v>
      </x:c>
      <x:c r="H57" t="str">
        <x:v>Ana Torres</x:v>
      </x:c>
      <x:c r="I57" s="46" t="n">
        <x:v>1361</x:v>
      </x:c>
      <x:c r="J57" s="48" t="n">
        <x:v>18.13</x:v>
      </x:c>
      <x:c r="K57" s="48" t="n">
        <x:v>24674.93</x:v>
      </x:c>
      <x:c r="L57" s="46" t="n">
        <x:v>49</x:v>
      </x:c>
      <x:c r="M57" s="52" t="str">
        <x:v>L3</x:v>
      </x:c>
      <x:c r="N57" s="52" t="str">
        <x:v>Noche</x:v>
      </x:c>
      <x:c r="O57" s="53" t="n">
        <x:f>L57/I57</x:f>
        <x:v>0.03600293901542983</x:v>
      </x:c>
      <x:c r="P57" s="52" t="str">
        <x:f>IF(O57&lt;=2%,"Aceptable","Revisar")</x:f>
        <x:v>Revisar</x:v>
      </x:c>
    </x:row>
    <x:row r="58">
      <x:c r="A58" t="str">
        <x:v>LT-2020-055</x:v>
      </x:c>
      <x:c r="B58" s="44" t="n">
        <x:v>43869</x:v>
      </x:c>
      <x:c r="C58" t="str">
        <x:v>Monterrey</x:v>
      </x:c>
      <x:c r="D58" t="str">
        <x:v>México</x:v>
      </x:c>
      <x:c r="E58" t="str">
        <x:v>HDD-2TB-B</x:v>
      </x:c>
      <x:c r="F58" t="str">
        <x:v>HDD</x:v>
      </x:c>
      <x:c r="G58" t="str">
        <x:v>L4 | Tarde</x:v>
      </x:c>
      <x:c r="H58" t="str">
        <x:v>Sofía Herrera</x:v>
      </x:c>
      <x:c r="I58" s="46" t="n">
        <x:v>1498</x:v>
      </x:c>
      <x:c r="J58" s="48" t="n">
        <x:v>45.9</x:v>
      </x:c>
      <x:c r="K58" s="48" t="n">
        <x:v>68758.2</x:v>
      </x:c>
      <x:c r="L58" s="46" t="n">
        <x:v>18</x:v>
      </x:c>
      <x:c r="M58" s="52" t="str">
        <x:v>L4</x:v>
      </x:c>
      <x:c r="N58" s="52" t="str">
        <x:v>Tarde</x:v>
      </x:c>
      <x:c r="O58" s="53" t="n">
        <x:f>L58/I58</x:f>
        <x:v>0.012016021361815754</x:v>
      </x:c>
      <x:c r="P58" s="52" t="str">
        <x:f>IF(O58&lt;=2%,"Aceptable","Revisar")</x:f>
        <x:v>Aceptable</x:v>
      </x:c>
    </x:row>
    <x:row r="59">
      <x:c r="A59" t="str">
        <x:v>LT-2020-056</x:v>
      </x:c>
      <x:c r="B59" s="44" t="n">
        <x:v>43909</x:v>
      </x:c>
      <x:c r="C59" t="str">
        <x:v>Guadalajara</x:v>
      </x:c>
      <x:c r="D59" t="str">
        <x:v>México</x:v>
      </x:c>
      <x:c r="E59" t="str">
        <x:v>RAM-8-V</x:v>
      </x:c>
      <x:c r="F59" t="str">
        <x:v>RAM</x:v>
      </x:c>
      <x:c r="G59" t="str">
        <x:v>L1 | Mañana</x:v>
      </x:c>
      <x:c r="H59" t="str">
        <x:v>Paula Ferreira</x:v>
      </x:c>
      <x:c r="I59" s="46" t="n">
        <x:v>1635</x:v>
      </x:c>
      <x:c r="J59" s="48" t="n">
        <x:v>19.61</x:v>
      </x:c>
      <x:c r="K59" s="48" t="n">
        <x:v>32062.35</x:v>
      </x:c>
      <x:c r="L59" s="46" t="n">
        <x:v>31</x:v>
      </x:c>
      <x:c r="M59" s="52" t="str">
        <x:v>L1</x:v>
      </x:c>
      <x:c r="N59" s="52" t="str">
        <x:v>Mañana</x:v>
      </x:c>
      <x:c r="O59" s="53" t="n">
        <x:f>L59/I59</x:f>
        <x:v>0.018960244648318043</x:v>
      </x:c>
      <x:c r="P59" s="52" t="str">
        <x:f>IF(O59&lt;=2%,"Aceptable","Revisar")</x:f>
        <x:v>Aceptable</x:v>
      </x:c>
    </x:row>
    <x:row r="60">
      <x:c r="A60" t="str">
        <x:v>LT-2020-057</x:v>
      </x:c>
      <x:c r="B60" s="44" t="n">
        <x:v>43950</x:v>
      </x:c>
      <x:c r="C60" t="str">
        <x:v>Bogotá</x:v>
      </x:c>
      <x:c r="D60" t="str">
        <x:v>Colombia</x:v>
      </x:c>
      <x:c r="E60" t="str">
        <x:v>SSD-512-N</x:v>
      </x:c>
      <x:c r="F60" t="str">
        <x:v>SSD</x:v>
      </x:c>
      <x:c r="G60" t="str">
        <x:v>L2 | Noche</x:v>
      </x:c>
      <x:c r="H60" t="str">
        <x:v>Paula Ferreira</x:v>
      </x:c>
      <x:c r="I60" s="46" t="n">
        <x:v>1772</x:v>
      </x:c>
      <x:c r="J60" s="48" t="n">
        <x:v>37.83</x:v>
      </x:c>
      <x:c r="K60" s="48" t="n">
        <x:v>67034.76</x:v>
      </x:c>
      <x:c r="L60" s="46" t="n">
        <x:v>46</x:v>
      </x:c>
      <x:c r="M60" s="52" t="str">
        <x:v>L2</x:v>
      </x:c>
      <x:c r="N60" s="52" t="str">
        <x:v>Noche</x:v>
      </x:c>
      <x:c r="O60" s="53" t="n">
        <x:f>L60/I60</x:f>
        <x:v>0.025959367945823927</x:v>
      </x:c>
      <x:c r="P60" s="52" t="str">
        <x:f>IF(O60&lt;=2%,"Aceptable","Revisar")</x:f>
        <x:v>Revisar</x:v>
      </x:c>
    </x:row>
    <x:row r="61">
      <x:c r="A61" t="str">
        <x:v>LT-2020-058</x:v>
      </x:c>
      <x:c r="B61" s="44" t="n">
        <x:v>43991</x:v>
      </x:c>
      <x:c r="C61" t="str">
        <x:v>Lima</x:v>
      </x:c>
      <x:c r="D61" t="str">
        <x:v>Perú</x:v>
      </x:c>
      <x:c r="E61" t="str">
        <x:v>RAM-16-V</x:v>
      </x:c>
      <x:c r="F61" t="str">
        <x:v>RAM</x:v>
      </x:c>
      <x:c r="G61" t="str">
        <x:v>L3 | Tarde</x:v>
      </x:c>
      <x:c r="H61" t="str">
        <x:v>Jorge Castillo</x:v>
      </x:c>
      <x:c r="I61" s="46" t="n">
        <x:v>809</x:v>
      </x:c>
      <x:c r="J61" s="48" t="n">
        <x:v>31.31</x:v>
      </x:c>
      <x:c r="K61" s="48" t="n">
        <x:v>25329.79</x:v>
      </x:c>
      <x:c r="L61" s="46" t="n">
        <x:v>27</x:v>
      </x:c>
      <x:c r="M61" s="52" t="str">
        <x:v>L3</x:v>
      </x:c>
      <x:c r="N61" s="52" t="str">
        <x:v>Tarde</x:v>
      </x:c>
      <x:c r="O61" s="53" t="n">
        <x:f>L61/I61</x:f>
        <x:v>0.03337453646477132</x:v>
      </x:c>
      <x:c r="P61" s="52" t="str">
        <x:f>IF(O61&lt;=2%,"Aceptable","Revisar")</x:f>
        <x:v>Revisar</x:v>
      </x:c>
    </x:row>
    <x:row r="62">
      <x:c r="A62" t="str">
        <x:v>LT-2020-059</x:v>
      </x:c>
      <x:c r="B62" s="44" t="n">
        <x:v>44031</x:v>
      </x:c>
      <x:c r="C62" t="str">
        <x:v>São Paulo</x:v>
      </x:c>
      <x:c r="D62" t="str">
        <x:v>Brasil</x:v>
      </x:c>
      <x:c r="E62" t="str">
        <x:v>SSD-512-N</x:v>
      </x:c>
      <x:c r="F62" t="str">
        <x:v>SSD</x:v>
      </x:c>
      <x:c r="G62" t="str">
        <x:v>L4 | Mañana</x:v>
      </x:c>
      <x:c r="H62" t="str">
        <x:v>Mariana Gómez</x:v>
      </x:c>
      <x:c r="I62" s="46" t="n">
        <x:v>946</x:v>
      </x:c>
      <x:c r="J62" s="48" t="n">
        <x:v>40.95</x:v>
      </x:c>
      <x:c r="K62" s="48" t="n">
        <x:v>38738.7</x:v>
      </x:c>
      <x:c r="L62" s="46" t="n">
        <x:v>9</x:v>
      </x:c>
      <x:c r="M62" s="52" t="str">
        <x:v>L4</x:v>
      </x:c>
      <x:c r="N62" s="52" t="str">
        <x:v>Mañana</x:v>
      </x:c>
      <x:c r="O62" s="53" t="n">
        <x:f>L62/I62</x:f>
        <x:v>0.009513742071881607</x:v>
      </x:c>
      <x:c r="P62" s="52" t="str">
        <x:f>IF(O62&lt;=2%,"Aceptable","Revisar")</x:f>
        <x:v>Aceptable</x:v>
      </x:c>
    </x:row>
    <x:row r="63">
      <x:c r="A63" t="str">
        <x:v>LT-2020-060</x:v>
      </x:c>
      <x:c r="B63" s="44" t="n">
        <x:v>44072</x:v>
      </x:c>
      <x:c r="C63" t="str">
        <x:v>San José</x:v>
      </x:c>
      <x:c r="D63" t="str">
        <x:v>Costa Rica</x:v>
      </x:c>
      <x:c r="E63" t="str">
        <x:v>RAM-16-V</x:v>
      </x:c>
      <x:c r="F63" t="str">
        <x:v>RAM</x:v>
      </x:c>
      <x:c r="G63" t="str">
        <x:v>L1 | Noche</x:v>
      </x:c>
      <x:c r="H63" t="str">
        <x:v>Diego Salazar</x:v>
      </x:c>
      <x:c r="I63" s="46" t="n">
        <x:v>1083</x:v>
      </x:c>
      <x:c r="J63" s="48" t="n">
        <x:v>29.76</x:v>
      </x:c>
      <x:c r="K63" s="48" t="n">
        <x:v>32230.08</x:v>
      </x:c>
      <x:c r="L63" s="46" t="n">
        <x:v>17</x:v>
      </x:c>
      <x:c r="M63" s="52" t="str">
        <x:v>L1</x:v>
      </x:c>
      <x:c r="N63" s="52" t="str">
        <x:v>Noche</x:v>
      </x:c>
      <x:c r="O63" s="53" t="n">
        <x:f>L63/I63</x:f>
        <x:v>0.01569713758079409</x:v>
      </x:c>
      <x:c r="P63" s="52" t="str">
        <x:f>IF(O63&lt;=2%,"Aceptable","Revisar")</x:f>
        <x:v>Aceptable</x:v>
      </x:c>
    </x:row>
    <x:row r="64">
      <x:c r="A64" t="str">
        <x:v>LT-2020-061</x:v>
      </x:c>
      <x:c r="B64" s="44" t="n">
        <x:v>44113</x:v>
      </x:c>
      <x:c r="C64" t="str">
        <x:v>Monterrey</x:v>
      </x:c>
      <x:c r="D64" t="str">
        <x:v>México</x:v>
      </x:c>
      <x:c r="E64" t="str">
        <x:v>SSD-512-N</x:v>
      </x:c>
      <x:c r="F64" t="str">
        <x:v>SSD</x:v>
      </x:c>
      <x:c r="G64" t="str">
        <x:v>L2 | Tarde</x:v>
      </x:c>
      <x:c r="H64" t="str">
        <x:v>Diego Salazar</x:v>
      </x:c>
      <x:c r="I64" s="46" t="n">
        <x:v>1220</x:v>
      </x:c>
      <x:c r="J64" s="48" t="n">
        <x:f>K64/I64</x:f>
        <x:v>39</x:v>
      </x:c>
      <x:c r="K64" s="48" t="n">
        <x:v>47580</x:v>
      </x:c>
      <x:c r="L64" s="46" t="n">
        <x:v>28</x:v>
      </x:c>
      <x:c r="M64" s="52" t="str">
        <x:v>L2</x:v>
      </x:c>
      <x:c r="N64" s="52" t="str">
        <x:v>Tarde</x:v>
      </x:c>
      <x:c r="O64" s="53" t="n">
        <x:f>L64/I64</x:f>
        <x:v>0.022950819672131147</x:v>
      </x:c>
      <x:c r="P64" s="52" t="str">
        <x:f>IF(O64&lt;=2%,"Aceptable","Revisar")</x:f>
        <x:v>Revisar</x:v>
      </x:c>
    </x:row>
    <x:row r="65">
      <x:c r="A65" t="str">
        <x:v>LT-2020-062</x:v>
      </x:c>
      <x:c r="B65" s="44" t="n">
        <x:v>44153</x:v>
      </x:c>
      <x:c r="C65" t="str">
        <x:v>Guadalajara</x:v>
      </x:c>
      <x:c r="D65" t="str">
        <x:v>México</x:v>
      </x:c>
      <x:c r="E65" t="str">
        <x:v>RAM-16-V</x:v>
      </x:c>
      <x:c r="F65" t="str">
        <x:v>RAM</x:v>
      </x:c>
      <x:c r="G65" t="str">
        <x:v>L3 | Mañana</x:v>
      </x:c>
      <x:c r="H65" t="str">
        <x:v>Carla Ribeiro</x:v>
      </x:c>
      <x:c r="I65" s="46" t="n">
        <x:v>1357</x:v>
      </x:c>
      <x:c r="J65" s="48" t="n">
        <x:v>32.24</x:v>
      </x:c>
      <x:c r="K65" s="48" t="n">
        <x:v>43749.68</x:v>
      </x:c>
      <x:c r="L65" s="46" t="n">
        <x:v>41</x:v>
      </x:c>
      <x:c r="M65" s="52" t="str">
        <x:v>L3</x:v>
      </x:c>
      <x:c r="N65" s="52" t="str">
        <x:v>Mañana</x:v>
      </x:c>
      <x:c r="O65" s="53" t="n">
        <x:f>L65/I65</x:f>
        <x:v>0.03021370670596905</x:v>
      </x:c>
      <x:c r="P65" s="52" t="str">
        <x:f>IF(O65&lt;=2%,"Aceptable","Revisar")</x:f>
        <x:v>Revisar</x:v>
      </x:c>
    </x:row>
    <x:row r="66">
      <x:c r="A66" t="str">
        <x:v>LT-2020-063</x:v>
      </x:c>
      <x:c r="B66" s="44" t="n">
        <x:v>43834</x:v>
      </x:c>
      <x:c r="C66" t="str">
        <x:v>Bogotá</x:v>
      </x:c>
      <x:c r="D66" t="str">
        <x:v>Colombia</x:v>
      </x:c>
      <x:c r="E66" t="str">
        <x:v>SSD-512-N</x:v>
      </x:c>
      <x:c r="F66" t="str">
        <x:v>SSD</x:v>
      </x:c>
      <x:c r="G66" t="str">
        <x:v>L4 | Noche</x:v>
      </x:c>
      <x:c r="H66" t="str">
        <x:v>Luis Mendoza</x:v>
      </x:c>
      <x:c r="I66" s="46" t="n">
        <x:v>1494</x:v>
      </x:c>
      <x:c r="J66" s="48" t="n">
        <x:v>37.05</x:v>
      </x:c>
      <x:c r="K66" s="48" t="n">
        <x:v>55352.7</x:v>
      </x:c>
      <x:c r="L66" s="46" t="n">
        <x:v>9</x:v>
      </x:c>
      <x:c r="M66" s="52" t="str">
        <x:v>L4</x:v>
      </x:c>
      <x:c r="N66" s="52" t="str">
        <x:v>Noche</x:v>
      </x:c>
      <x:c r="O66" s="53" t="n">
        <x:f>L66/I66</x:f>
        <x:v>0.006024096385542169</x:v>
      </x:c>
      <x:c r="P66" s="52" t="str">
        <x:f>IF(O66&lt;=2%,"Aceptable","Revisar")</x:f>
        <x:v>Aceptable</x:v>
      </x:c>
    </x:row>
    <x:row r="67">
      <x:c r="A67" t="str">
        <x:v>LT-2020-064</x:v>
      </x:c>
      <x:c r="B67" s="44" t="n">
        <x:v>43875</x:v>
      </x:c>
      <x:c r="C67" t="str">
        <x:v>Lima</x:v>
      </x:c>
      <x:c r="D67" t="str">
        <x:v>Perú</x:v>
      </x:c>
      <x:c r="E67" t="str">
        <x:v>HDD-1TB-A</x:v>
      </x:c>
      <x:c r="F67" t="str">
        <x:v>HDD</x:v>
      </x:c>
      <x:c r="G67" t="str">
        <x:v>L1 | Tarde</x:v>
      </x:c>
      <x:c r="H67" t="str">
        <x:v>Ana Torres</x:v>
      </x:c>
      <x:c r="I67" s="46" t="n">
        <x:v>1631</x:v>
      </x:c>
      <x:c r="J67" s="48" t="n">
        <x:v>31.18</x:v>
      </x:c>
      <x:c r="K67" s="48" t="n">
        <x:v>50854.58</x:v>
      </x:c>
      <x:c r="L67" s="46" t="n">
        <x:v>21</x:v>
      </x:c>
      <x:c r="M67" s="52" t="str">
        <x:v>L1</x:v>
      </x:c>
      <x:c r="N67" s="52" t="str">
        <x:v>Tarde</x:v>
      </x:c>
      <x:c r="O67" s="53" t="n">
        <x:f>L67/I67</x:f>
        <x:v>0.012875536480686695</x:v>
      </x:c>
      <x:c r="P67" s="52" t="str">
        <x:f>IF(O67&lt;=2%,"Aceptable","Revisar")</x:f>
        <x:v>Aceptable</x:v>
      </x:c>
    </x:row>
    <x:row r="68">
      <x:c r="A68" t="str">
        <x:v>LT-2020-065</x:v>
      </x:c>
      <x:c r="B68" s="44" t="n">
        <x:v>43915</x:v>
      </x:c>
      <x:c r="C68" t="str">
        <x:v>São Paulo</x:v>
      </x:c>
      <x:c r="D68" t="str">
        <x:v>Brasil</x:v>
      </x:c>
      <x:c r="E68" t="str">
        <x:v>SSD-1TB-N</x:v>
      </x:c>
      <x:c r="F68" t="str">
        <x:v>SSD</x:v>
      </x:c>
      <x:c r="G68" t="str">
        <x:v>L2 | Mañana</x:v>
      </x:c>
      <x:c r="H68" t="str">
        <x:v>Ana Torres</x:v>
      </x:c>
      <x:c r="I68" s="46" t="n">
        <x:v>1768</x:v>
      </x:c>
      <x:c r="J68" s="48" t="n">
        <x:v>63.86</x:v>
      </x:c>
      <x:c r="K68" s="48" t="n">
        <x:v>112904.48</x:v>
      </x:c>
      <x:c r="L68" s="46" t="n">
        <x:v>35</x:v>
      </x:c>
      <x:c r="M68" s="52" t="str">
        <x:v>L2</x:v>
      </x:c>
      <x:c r="N68" s="52" t="str">
        <x:v>Mañana</x:v>
      </x:c>
      <x:c r="O68" s="53" t="n">
        <x:f>L68/I68</x:f>
        <x:v>0.019796380090497737</x:v>
      </x:c>
      <x:c r="P68" s="52" t="str">
        <x:f>IF(O68&lt;=2%,"Aceptable","Revisar")</x:f>
        <x:v>Aceptable</x:v>
      </x:c>
    </x:row>
    <x:row r="69">
      <x:c r="A69" t="str">
        <x:v>LT-2020-066</x:v>
      </x:c>
      <x:c r="B69" s="44" t="n">
        <x:v>43956</x:v>
      </x:c>
      <x:c r="C69" t="str">
        <x:v>San José</x:v>
      </x:c>
      <x:c r="D69" t="str">
        <x:v>Costa Rica</x:v>
      </x:c>
      <x:c r="E69" t="str">
        <x:v>HDD-1TB-A</x:v>
      </x:c>
      <x:c r="F69" t="str">
        <x:v>HDD</x:v>
      </x:c>
      <x:c r="G69" t="str">
        <x:v>L3 | Noche</x:v>
      </x:c>
      <x:c r="H69" t="str">
        <x:v>Sofía Herrera</x:v>
      </x:c>
      <x:c r="I69" s="46" t="n">
        <x:v>805</x:v>
      </x:c>
      <x:c r="J69" s="48" t="n">
        <x:v>29.61</x:v>
      </x:c>
      <x:c r="K69" s="48" t="n">
        <x:v>23836.05</x:v>
      </x:c>
      <x:c r="L69" s="46" t="n">
        <x:v>22</x:v>
      </x:c>
      <x:c r="M69" s="52" t="str">
        <x:v>L3</x:v>
      </x:c>
      <x:c r="N69" s="52" t="str">
        <x:v>Noche</x:v>
      </x:c>
      <x:c r="O69" s="53" t="n">
        <x:f>L69/I69</x:f>
        <x:v>0.02732919254658385</x:v>
      </x:c>
      <x:c r="P69" s="52" t="str">
        <x:f>IF(O69&lt;=2%,"Aceptable","Revisar")</x:f>
        <x:v>Revisar</x:v>
      </x:c>
    </x:row>
    <x:row r="70">
      <x:c r="A70" t="str">
        <x:v>LT-2020-067</x:v>
      </x:c>
      <x:c r="B70" s="44" t="n">
        <x:v>43997</x:v>
      </x:c>
      <x:c r="C70" t="str">
        <x:v>Monterrey</x:v>
      </x:c>
      <x:c r="D70" t="str">
        <x:v>México</x:v>
      </x:c>
      <x:c r="E70" t="str">
        <x:v>SSD-1TB-N</x:v>
      </x:c>
      <x:c r="F70" t="str">
        <x:v>SSD</x:v>
      </x:c>
      <x:c r="G70" t="str">
        <x:v>L4 | Tarde</x:v>
      </x:c>
      <x:c r="H70" t="str">
        <x:v>Paula Ferreira</x:v>
      </x:c>
      <x:c r="I70" s="46" t="n">
        <x:v>942</x:v>
      </x:c>
      <x:c r="J70" s="48" t="n">
        <x:v>60.76</x:v>
      </x:c>
      <x:c r="K70" s="48" t="n">
        <x:v>57235.92</x:v>
      </x:c>
      <x:c r="L70" s="46" t="n">
        <x:v>32</x:v>
      </x:c>
      <x:c r="M70" s="52" t="str">
        <x:v>L4</x:v>
      </x:c>
      <x:c r="N70" s="52" t="str">
        <x:v>Tarde</x:v>
      </x:c>
      <x:c r="O70" s="53" t="n">
        <x:f>L70/I70</x:f>
        <x:v>0.03397027600849257</x:v>
      </x:c>
      <x:c r="P70" s="52" t="str">
        <x:f>IF(O70&lt;=2%,"Aceptable","Revisar")</x:f>
        <x:v>Revisar</x:v>
      </x:c>
    </x:row>
    <x:row r="71">
      <x:c r="A71" t="str">
        <x:v>LT-2020-068</x:v>
      </x:c>
      <x:c r="B71" s="44" t="n">
        <x:v>44037</x:v>
      </x:c>
      <x:c r="C71" t="str">
        <x:v>Guadalajara</x:v>
      </x:c>
      <x:c r="D71" t="str">
        <x:v>México</x:v>
      </x:c>
      <x:c r="E71" t="str">
        <x:v>HDD-1TB-A</x:v>
      </x:c>
      <x:c r="F71" t="str">
        <x:v>HDD</x:v>
      </x:c>
      <x:c r="G71" t="str">
        <x:v>L1 | Mañana</x:v>
      </x:c>
      <x:c r="H71" t="str">
        <x:v>Jorge Castillo</x:v>
      </x:c>
      <x:c r="I71" s="46" t="n">
        <x:v>1079</x:v>
      </x:c>
      <x:c r="J71" s="48" t="n">
        <x:v>32.13</x:v>
      </x:c>
      <x:c r="K71" s="48" t="n">
        <x:f>I71*J71</x:f>
        <x:v>34668.270000000004</x:v>
      </x:c>
      <x:c r="L71" s="46" t="n">
        <x:v>11</x:v>
      </x:c>
      <x:c r="M71" s="52" t="str">
        <x:v>L1</x:v>
      </x:c>
      <x:c r="N71" s="52" t="str">
        <x:v>Mañana</x:v>
      </x:c>
      <x:c r="O71" s="53" t="n">
        <x:f>L71/I71</x:f>
        <x:v>0.010194624652455977</x:v>
      </x:c>
      <x:c r="P71" s="52" t="str">
        <x:f>IF(O71&lt;=2%,"Aceptable","Revisar")</x:f>
        <x:v>Aceptable</x:v>
      </x:c>
    </x:row>
    <x:row r="72">
      <x:c r="A72" t="str">
        <x:v>LT-2020-069</x:v>
      </x:c>
      <x:c r="B72" s="44" t="n">
        <x:v>44078</x:v>
      </x:c>
      <x:c r="C72" t="str">
        <x:v>Bogotá</x:v>
      </x:c>
      <x:c r="D72" t="str">
        <x:v>Colombia</x:v>
      </x:c>
      <x:c r="E72" t="str">
        <x:v>SSD-1TB-N</x:v>
      </x:c>
      <x:c r="F72" t="str">
        <x:v>SSD</x:v>
      </x:c>
      <x:c r="G72" t="str">
        <x:v>L2 | Noche</x:v>
      </x:c>
      <x:c r="H72" t="str">
        <x:v>Jorge Castillo</x:v>
      </x:c>
      <x:c r="I72" s="46" t="n">
        <x:v>1216</x:v>
      </x:c>
      <x:c r="J72" s="48" t="n">
        <x:v>65.72</x:v>
      </x:c>
      <x:c r="K72" s="48" t="n">
        <x:v>79915.52</x:v>
      </x:c>
      <x:c r="L72" s="46" t="n">
        <x:v>21</x:v>
      </x:c>
      <x:c r="M72" s="52" t="str">
        <x:v>L2</x:v>
      </x:c>
      <x:c r="N72" s="52" t="str">
        <x:v>Noche</x:v>
      </x:c>
      <x:c r="O72" s="53" t="n">
        <x:f>L72/I72</x:f>
        <x:v>0.017269736842105265</x:v>
      </x:c>
      <x:c r="P72" s="52" t="str">
        <x:f>IF(O72&lt;=2%,"Aceptable","Revisar")</x:f>
        <x:v>Aceptable</x:v>
      </x:c>
    </x:row>
    <x:row r="73">
      <x:c r="A73" t="str">
        <x:v>LT-2020-070</x:v>
      </x:c>
      <x:c r="B73" s="44" t="n">
        <x:v>44119</x:v>
      </x:c>
      <x:c r="C73" t="str">
        <x:v>Lima</x:v>
      </x:c>
      <x:c r="D73" t="str">
        <x:v>Perú</x:v>
      </x:c>
      <x:c r="E73" t="str">
        <x:v>HDD-1TB-A</x:v>
      </x:c>
      <x:c r="F73" t="str">
        <x:v>HDD</x:v>
      </x:c>
      <x:c r="G73" t="str">
        <x:v>L3 | Tarde</x:v>
      </x:c>
      <x:c r="H73" t="str">
        <x:v>Mariana Gómez</x:v>
      </x:c>
      <x:c r="I73" s="46" t="n">
        <x:v>1353</x:v>
      </x:c>
      <x:c r="J73" s="48" t="n">
        <x:v>30.55</x:v>
      </x:c>
      <x:c r="K73" s="48" t="n">
        <x:v>41334.15</x:v>
      </x:c>
      <x:c r="L73" s="46" t="n">
        <x:v>32</x:v>
      </x:c>
      <x:c r="M73" s="52" t="str">
        <x:v>L3</x:v>
      </x:c>
      <x:c r="N73" s="52" t="str">
        <x:v>Tarde</x:v>
      </x:c>
      <x:c r="O73" s="53" t="n">
        <x:f>L73/I73</x:f>
        <x:v>0.023651145602365115</x:v>
      </x:c>
      <x:c r="P73" s="52" t="str">
        <x:f>IF(O73&lt;=2%,"Aceptable","Revisar")</x:f>
        <x:v>Revisar</x:v>
      </x:c>
    </x:row>
    <x:row r="74">
      <x:c r="A74" t="str">
        <x:v>LT-2020-071</x:v>
      </x:c>
      <x:c r="B74" s="44" t="n">
        <x:v>44159</x:v>
      </x:c>
      <x:c r="C74" t="str">
        <x:v>São Paulo</x:v>
      </x:c>
      <x:c r="D74" t="str">
        <x:v>Brasil</x:v>
      </x:c>
      <x:c r="E74" t="str">
        <x:v>RAM-8-V</x:v>
      </x:c>
      <x:c r="F74" t="str">
        <x:v>RAM</x:v>
      </x:c>
      <x:c r="G74" t="str">
        <x:v>L4 | Mañana</x:v>
      </x:c>
      <x:c r="H74" t="str">
        <x:v>Diego Salazar</x:v>
      </x:c>
      <x:c r="I74" s="46" t="n">
        <x:v>1490</x:v>
      </x:c>
      <x:c r="J74" s="48" t="n">
        <x:v>18.68</x:v>
      </x:c>
      <x:c r="K74" s="48" t="n">
        <x:v>27833.2</x:v>
      </x:c>
      <x:c r="L74" s="46" t="n">
        <x:v>46</x:v>
      </x:c>
      <x:c r="M74" s="52" t="str">
        <x:v>L4</x:v>
      </x:c>
      <x:c r="N74" s="52" t="str">
        <x:v>Mañana</x:v>
      </x:c>
      <x:c r="O74" s="53" t="n">
        <x:f>L74/I74</x:f>
        <x:v>0.03087248322147651</x:v>
      </x:c>
      <x:c r="P74" s="52" t="str">
        <x:f>IF(O74&lt;=2%,"Aceptable","Revisar")</x:f>
        <x:v>Revisar</x:v>
      </x:c>
    </x:row>
    <x:row r="75">
      <x:c r="A75" t="str">
        <x:v>LT-2020-072</x:v>
      </x:c>
      <x:c r="B75" s="44" t="n">
        <x:v>43840</x:v>
      </x:c>
      <x:c r="C75" t="str">
        <x:v>San José</x:v>
      </x:c>
      <x:c r="D75" t="str">
        <x:v>Costa Rica</x:v>
      </x:c>
      <x:c r="E75" t="str">
        <x:v>HDD-2TB-B</x:v>
      </x:c>
      <x:c r="F75" t="str">
        <x:v>HDD</x:v>
      </x:c>
      <x:c r="G75" t="str">
        <x:v>L1 | Noche</x:v>
      </x:c>
      <x:c r="H75" t="str">
        <x:v>Carla Ribeiro</x:v>
      </x:c>
      <x:c r="I75" s="46" t="n">
        <x:v>1627</x:v>
      </x:c>
      <x:c r="J75" s="48" t="n">
        <x:v>47.25</x:v>
      </x:c>
      <x:c r="K75" s="48" t="n">
        <x:v>76875.75</x:v>
      </x:c>
      <x:c r="L75" s="46" t="n">
        <x:v>11</x:v>
      </x:c>
      <x:c r="M75" s="52" t="str">
        <x:v>L1</x:v>
      </x:c>
      <x:c r="N75" s="52" t="str">
        <x:v>Noche</x:v>
      </x:c>
      <x:c r="O75" s="53" t="n">
        <x:f>L75/I75</x:f>
        <x:v>0.006760909649661954</x:v>
      </x:c>
      <x:c r="P75" s="52" t="str">
        <x:f>IF(O75&lt;=2%,"Aceptable","Revisar")</x:f>
        <x:v>Aceptable</x:v>
      </x:c>
    </x:row>
    <x:row r="76">
      <x:c r="A76" t="str">
        <x:v>LT-2020-073</x:v>
      </x:c>
      <x:c r="B76" s="44" t="n">
        <x:v>43881</x:v>
      </x:c>
      <x:c r="C76" t="str">
        <x:v>Monterrey</x:v>
      </x:c>
      <x:c r="D76" t="str">
        <x:v>México</x:v>
      </x:c>
      <x:c r="E76" t="str">
        <x:v>RAM-8-V</x:v>
      </x:c>
      <x:c r="F76" t="str">
        <x:v>RAM</x:v>
      </x:c>
      <x:c r="G76" t="str">
        <x:v>L2 | Tarde</x:v>
      </x:c>
      <x:c r="H76" t="str">
        <x:v>Carla Ribeiro</x:v>
      </x:c>
      <x:c r="I76" s="46" t="n">
        <x:v>1764</x:v>
      </x:c>
      <x:c r="J76" s="48" t="n">
        <x:v>17.76</x:v>
      </x:c>
      <x:c r="K76" s="48" t="n">
        <x:v>31328.64</x:v>
      </x:c>
      <x:c r="L76" s="46" t="n">
        <x:v>25</x:v>
      </x:c>
      <x:c r="M76" s="52" t="str">
        <x:v>L2</x:v>
      </x:c>
      <x:c r="N76" s="52" t="str">
        <x:v>Tarde</x:v>
      </x:c>
      <x:c r="O76" s="53" t="n">
        <x:f>L76/I76</x:f>
        <x:v>0.01417233560090703</x:v>
      </x:c>
      <x:c r="P76" s="52" t="str">
        <x:f>IF(O76&lt;=2%,"Aceptable","Revisar")</x:f>
        <x:v>Aceptable</x:v>
      </x:c>
    </x:row>
    <x:row r="77">
      <x:c r="A77" t="str">
        <x:v>LT-2020-074</x:v>
      </x:c>
      <x:c r="B77" s="44" t="n">
        <x:v>43921</x:v>
      </x:c>
      <x:c r="C77" t="str">
        <x:v>Guadalajara</x:v>
      </x:c>
      <x:c r="D77" t="str">
        <x:v>México</x:v>
      </x:c>
      <x:c r="E77" t="str">
        <x:v>HDD-2TB-B</x:v>
      </x:c>
      <x:c r="F77" t="str">
        <x:v>HDD</x:v>
      </x:c>
      <x:c r="G77" t="str">
        <x:v>L3 | Mañana</x:v>
      </x:c>
      <x:c r="H77" t="str">
        <x:v>Luis Mendoza</x:v>
      </x:c>
      <x:c r="I77" s="46" t="n">
        <x:v>801</x:v>
      </x:c>
      <x:c r="J77" s="48" t="n">
        <x:v>45</x:v>
      </x:c>
      <x:c r="K77" s="48" t="n">
        <x:v>36045</x:v>
      </x:c>
      <x:c r="L77" s="46" t="n">
        <x:v>17</x:v>
      </x:c>
      <x:c r="M77" s="52" t="str">
        <x:v>L3</x:v>
      </x:c>
      <x:c r="N77" s="52" t="str">
        <x:v>Mañana</x:v>
      </x:c>
      <x:c r="O77" s="53" t="n">
        <x:f>L77/I77</x:f>
        <x:v>0.02122347066167291</x:v>
      </x:c>
      <x:c r="P77" s="52" t="str">
        <x:f>IF(O77&lt;=2%,"Aceptable","Revisar")</x:f>
        <x:v>Revisar</x:v>
      </x:c>
    </x:row>
    <x:row r="78">
      <x:c r="A78" t="str">
        <x:v>LT-2020-075</x:v>
      </x:c>
      <x:c r="B78" s="44" t="n">
        <x:v>43962</x:v>
      </x:c>
      <x:c r="C78" t="str">
        <x:v>Bogotá</x:v>
      </x:c>
      <x:c r="D78" t="str">
        <x:v>Colombia</x:v>
      </x:c>
      <x:c r="E78" t="str">
        <x:v>RAM-8-V</x:v>
      </x:c>
      <x:c r="F78" t="str">
        <x:v>RAM</x:v>
      </x:c>
      <x:c r="G78" t="str">
        <x:v>L4 | Noche</x:v>
      </x:c>
      <x:c r="H78" t="str">
        <x:v>Ana Torres</x:v>
      </x:c>
      <x:c r="I78" s="46" t="n">
        <x:v>938</x:v>
      </x:c>
      <x:c r="J78" s="48" t="n">
        <x:v>19.24</x:v>
      </x:c>
      <x:c r="K78" s="48" t="n">
        <x:v>18047.12</x:v>
      </x:c>
      <x:c r="L78" s="46" t="n">
        <x:v>25</x:v>
      </x:c>
      <x:c r="M78" s="52" t="str">
        <x:v>L4</x:v>
      </x:c>
      <x:c r="N78" s="52" t="str">
        <x:v>Noche</x:v>
      </x:c>
      <x:c r="O78" s="53" t="n">
        <x:f>L78/I78</x:f>
        <x:v>0.026652452025586353</x:v>
      </x:c>
      <x:c r="P78" s="52" t="str">
        <x:f>IF(O78&lt;=2%,"Aceptable","Revisar")</x:f>
        <x:v>Revisar</x:v>
      </x:c>
    </x:row>
    <x:row r="79">
      <x:c r="A79" t="str">
        <x:v>LT-2020-076</x:v>
      </x:c>
      <x:c r="B79" s="44" t="n">
        <x:v>44003</x:v>
      </x:c>
      <x:c r="C79" t="str">
        <x:v>Lima</x:v>
      </x:c>
      <x:c r="D79" t="str">
        <x:v>Perú</x:v>
      </x:c>
      <x:c r="E79" t="str">
        <x:v>HDD-2TB-B</x:v>
      </x:c>
      <x:c r="F79" t="str">
        <x:v>HDD</x:v>
      </x:c>
      <x:c r="G79" t="str">
        <x:v>L1 | Tarde</x:v>
      </x:c>
      <x:c r="H79" t="str">
        <x:v>Sofía Herrera</x:v>
      </x:c>
      <x:c r="I79" s="46" t="n">
        <x:v>1075</x:v>
      </x:c>
      <x:c r="J79" s="48" t="n">
        <x:v>42.75</x:v>
      </x:c>
      <x:c r="K79" s="48" t="n">
        <x:v>45956.25</x:v>
      </x:c>
      <x:c r="L79" s="46" t="n">
        <x:v>38</x:v>
      </x:c>
      <x:c r="M79" s="52" t="str">
        <x:v>L1</x:v>
      </x:c>
      <x:c r="N79" s="52" t="str">
        <x:v>Tarde</x:v>
      </x:c>
      <x:c r="O79" s="53" t="n">
        <x:f>L79/I79</x:f>
        <x:v>0.035348837209302326</x:v>
      </x:c>
      <x:c r="P79" s="52" t="str">
        <x:f>IF(O79&lt;=2%,"Aceptable","Revisar")</x:f>
        <x:v>Revisar</x:v>
      </x:c>
    </x:row>
    <x:row r="80">
      <x:c r="A80" t="str">
        <x:v>LT-2020-077</x:v>
      </x:c>
      <x:c r="B80" s="44" t="n">
        <x:v>44043</x:v>
      </x:c>
      <x:c r="C80" t="str">
        <x:v>São Paulo</x:v>
      </x:c>
      <x:c r="D80" t="str">
        <x:v>Brasil</x:v>
      </x:c>
      <x:c r="E80" t="str">
        <x:v>RAM-8-V</x:v>
      </x:c>
      <x:c r="F80" t="str">
        <x:v>RAM</x:v>
      </x:c>
      <x:c r="G80" t="str">
        <x:v>L2 | Mañana</x:v>
      </x:c>
      <x:c r="H80" t="str">
        <x:v>Sofía Herrera</x:v>
      </x:c>
      <x:c r="I80" s="46" t="n">
        <x:v>1212</x:v>
      </x:c>
      <x:c r="J80" s="48" t="n">
        <x:v>18.32</x:v>
      </x:c>
      <x:c r="K80" s="48" t="n">
        <x:v>22203.84</x:v>
      </x:c>
      <x:c r="L80" s="46" t="n">
        <x:v>13</x:v>
      </x:c>
      <x:c r="M80" s="52" t="str">
        <x:v>L2</x:v>
      </x:c>
      <x:c r="N80" s="52" t="str">
        <x:v>Mañana</x:v>
      </x:c>
      <x:c r="O80" s="53" t="n">
        <x:f>L80/I80</x:f>
        <x:v>0.010726072607260726</x:v>
      </x:c>
      <x:c r="P80" s="52" t="str">
        <x:f>IF(O80&lt;=2%,"Aceptable","Revisar")</x:f>
        <x:v>Aceptable</x:v>
      </x:c>
    </x:row>
    <x:row r="81">
      <x:c r="A81" t="str">
        <x:v>LT-2020-078</x:v>
      </x:c>
      <x:c r="B81" s="44" t="n">
        <x:v>44084</x:v>
      </x:c>
      <x:c r="C81" t="str">
        <x:v>San José</x:v>
      </x:c>
      <x:c r="D81" t="str">
        <x:v>Costa Rica</x:v>
      </x:c>
      <x:c r="E81" t="str">
        <x:v>SSD-512-N</x:v>
      </x:c>
      <x:c r="F81" t="str">
        <x:v>SSD</x:v>
      </x:c>
      <x:c r="G81" t="str">
        <x:v>L3 | Noche</x:v>
      </x:c>
      <x:c r="H81" t="str">
        <x:v>Paula Ferreira</x:v>
      </x:c>
      <x:c r="I81" s="46" t="n">
        <x:v>1349</x:v>
      </x:c>
      <x:c r="J81" s="48" t="n">
        <x:v>40.17</x:v>
      </x:c>
      <x:c r="K81" s="48" t="n">
        <x:v>54189.33</x:v>
      </x:c>
      <x:c r="L81" s="46" t="n">
        <x:v>24</x:v>
      </x:c>
      <x:c r="M81" s="52" t="str">
        <x:v>L3</x:v>
      </x:c>
      <x:c r="N81" s="52" t="str">
        <x:v>Noche</x:v>
      </x:c>
      <x:c r="O81" s="53" t="n">
        <x:f>L81/I81</x:f>
        <x:v>0.017790956263899184</x:v>
      </x:c>
      <x:c r="P81" s="52" t="str">
        <x:f>IF(O81&lt;=2%,"Aceptable","Revisar")</x:f>
        <x:v>Aceptable</x:v>
      </x:c>
    </x:row>
    <x:row r="82">
      <x:c r="A82" t="str">
        <x:v>LT-2020-079</x:v>
      </x:c>
      <x:c r="B82" s="44" t="n">
        <x:v>44125</x:v>
      </x:c>
      <x:c r="C82" t="str">
        <x:v>Monterrey</x:v>
      </x:c>
      <x:c r="D82" t="str">
        <x:v>México</x:v>
      </x:c>
      <x:c r="E82" t="str">
        <x:v>RAM-16-V</x:v>
      </x:c>
      <x:c r="F82" t="str">
        <x:v>RAM</x:v>
      </x:c>
      <x:c r="G82" t="str">
        <x:v>L4 | Tarde</x:v>
      </x:c>
      <x:c r="H82" t="str">
        <x:v>Jorge Castillo</x:v>
      </x:c>
      <x:c r="I82" s="46" t="n">
        <x:v>1486</x:v>
      </x:c>
      <x:c r="J82" s="48" t="n">
        <x:v>29.14</x:v>
      </x:c>
      <x:c r="K82" s="48" t="n">
        <x:v>43302.04</x:v>
      </x:c>
      <x:c r="L82" s="46" t="n">
        <x:v>37</x:v>
      </x:c>
      <x:c r="M82" s="52" t="str">
        <x:v>L4</x:v>
      </x:c>
      <x:c r="N82" s="52" t="str">
        <x:v>Tarde</x:v>
      </x:c>
      <x:c r="O82" s="53" t="n">
        <x:f>L82/I82</x:f>
        <x:v>0.02489905787348587</x:v>
      </x:c>
      <x:c r="P82" s="52" t="str">
        <x:f>IF(O82&lt;=2%,"Aceptable","Revisar")</x:f>
        <x:v>Revisar</x:v>
      </x:c>
    </x:row>
    <x:row r="83">
      <x:c r="A83" t="str">
        <x:v>LT-2020-080</x:v>
      </x:c>
      <x:c r="B83" s="44" t="n">
        <x:v>44165</x:v>
      </x:c>
      <x:c r="C83" t="str">
        <x:v>Guadalajara</x:v>
      </x:c>
      <x:c r="D83" t="str">
        <x:v>México</x:v>
      </x:c>
      <x:c r="E83" t="str">
        <x:v>SSD-512-N</x:v>
      </x:c>
      <x:c r="F83" t="str">
        <x:v>SSD</x:v>
      </x:c>
      <x:c r="G83" t="str">
        <x:v>L1 | Mañana</x:v>
      </x:c>
      <x:c r="H83" t="str">
        <x:v>Mariana Gómez</x:v>
      </x:c>
      <x:c r="I83" s="46" t="n">
        <x:v>1623</x:v>
      </x:c>
      <x:c r="J83" s="48" t="n">
        <x:v>38.22</x:v>
      </x:c>
      <x:c r="K83" s="48" t="n">
        <x:v>62031.06</x:v>
      </x:c>
      <x:c r="L83" s="46" t="n">
        <x:v>52</x:v>
      </x:c>
      <x:c r="M83" s="52" t="str">
        <x:v>L1</x:v>
      </x:c>
      <x:c r="N83" s="52" t="str">
        <x:v>Mañana</x:v>
      </x:c>
      <x:c r="O83" s="53" t="n">
        <x:f>L83/I83</x:f>
        <x:v>0.03203943314849045</x:v>
      </x:c>
      <x:c r="P83" s="52" t="str">
        <x:f>IF(O83&lt;=2%,"Aceptable","Revisar")</x:f>
        <x:v>Revisar</x:v>
      </x:c>
    </x:row>
    <x:row r="84">
      <x:c r="A84" t="str">
        <x:v>LT-2020-081</x:v>
      </x:c>
      <x:c r="B84" s="44" t="n">
        <x:v>43846</x:v>
      </x:c>
      <x:c r="C84" t="str">
        <x:v>Bogotá</x:v>
      </x:c>
      <x:c r="D84" t="str">
        <x:v>Colombia</x:v>
      </x:c>
      <x:c r="E84" t="str">
        <x:v>RAM-16-V</x:v>
      </x:c>
      <x:c r="F84" t="str">
        <x:v>RAM</x:v>
      </x:c>
      <x:c r="G84" t="str">
        <x:v>L2 | Noche</x:v>
      </x:c>
      <x:c r="H84" t="str">
        <x:v>Mariana Gómez</x:v>
      </x:c>
      <x:c r="I84" s="46" t="n">
        <x:v>1760</x:v>
      </x:c>
      <x:c r="J84" s="48" t="n">
        <x:v>31.62</x:v>
      </x:c>
      <x:c r="K84" s="48" t="n">
        <x:v>55651.2</x:v>
      </x:c>
      <x:c r="L84" s="46" t="n">
        <x:v>14</x:v>
      </x:c>
      <x:c r="M84" s="52" t="str">
        <x:v>L2</x:v>
      </x:c>
      <x:c r="N84" s="52" t="str">
        <x:v>Noche</x:v>
      </x:c>
      <x:c r="O84" s="53" t="n">
        <x:f>L84/I84</x:f>
        <x:v>0.007954545454545454</x:v>
      </x:c>
      <x:c r="P84" s="52" t="str">
        <x:f>IF(O84&lt;=2%,"Aceptable","Revisar")</x:f>
        <x:v>Aceptable</x:v>
      </x:c>
    </x:row>
    <x:row r="85">
      <x:c r="A85" t="str">
        <x:v>LT-2020-082</x:v>
      </x:c>
      <x:c r="B85" s="44" t="n">
        <x:v>43887</x:v>
      </x:c>
      <x:c r="C85" t="str">
        <x:v>Lima</x:v>
      </x:c>
      <x:c r="D85" t="str">
        <x:v>Perú</x:v>
      </x:c>
      <x:c r="E85" t="str">
        <x:v>SSD-512-N</x:v>
      </x:c>
      <x:c r="F85" t="str">
        <x:v>SSD</x:v>
      </x:c>
      <x:c r="G85" t="str">
        <x:v>L3 | Tarde</x:v>
      </x:c>
      <x:c r="H85" t="str">
        <x:v>Diego Salazar</x:v>
      </x:c>
      <x:c r="I85" s="46" t="n">
        <x:v>797</x:v>
      </x:c>
      <x:c r="J85" s="48" t="n">
        <x:v>41.34</x:v>
      </x:c>
      <x:c r="K85" s="48" t="n">
        <x:v>32947.98</x:v>
      </x:c>
      <x:c r="L85" s="46" t="n">
        <x:v>12</x:v>
      </x:c>
      <x:c r="M85" s="52" t="str">
        <x:v>L3</x:v>
      </x:c>
      <x:c r="N85" s="52" t="str">
        <x:v>Tarde</x:v>
      </x:c>
      <x:c r="O85" s="53" t="n">
        <x:f>L85/I85</x:f>
        <x:v>0.015056461731493099</x:v>
      </x:c>
      <x:c r="P85" s="52" t="str">
        <x:f>IF(O85&lt;=2%,"Aceptable","Revisar")</x:f>
        <x:v>Aceptable</x:v>
      </x:c>
    </x:row>
    <x:row r="86">
      <x:c r="A86" t="str">
        <x:v>LT-2020-083</x:v>
      </x:c>
      <x:c r="B86" s="44" t="n">
        <x:v>43927</x:v>
      </x:c>
      <x:c r="C86" t="str">
        <x:v>São Paulo</x:v>
      </x:c>
      <x:c r="D86" t="str">
        <x:v>Brasil</x:v>
      </x:c>
      <x:c r="E86" t="str">
        <x:v>RAM-16-V</x:v>
      </x:c>
      <x:c r="F86" t="str">
        <x:v>RAM</x:v>
      </x:c>
      <x:c r="G86" t="str">
        <x:v>L4 | Mañana</x:v>
      </x:c>
      <x:c r="H86" t="str">
        <x:v>Carla Ribeiro</x:v>
      </x:c>
      <x:c r="I86" s="46" t="n">
        <x:v>934</x:v>
      </x:c>
      <x:c r="J86" s="48" t="n">
        <x:v>30.07</x:v>
      </x:c>
      <x:c r="K86" s="48" t="n">
        <x:v>28085.38</x:v>
      </x:c>
      <x:c r="L86" s="46" t="n">
        <x:v>21</x:v>
      </x:c>
      <x:c r="M86" s="52" t="str">
        <x:v>L4</x:v>
      </x:c>
      <x:c r="N86" s="52" t="str">
        <x:v>Mañana</x:v>
      </x:c>
      <x:c r="O86" s="53" t="n">
        <x:f>L86/I86</x:f>
        <x:v>0.022483940042826552</x:v>
      </x:c>
      <x:c r="P86" s="52" t="str">
        <x:f>IF(O86&lt;=2%,"Aceptable","Revisar")</x:f>
        <x:v>Revisar</x:v>
      </x:c>
    </x:row>
    <x:row r="87">
      <x:c r="A87" t="str">
        <x:v>LT-2020-084</x:v>
      </x:c>
      <x:c r="B87" s="44" t="n">
        <x:v>43968</x:v>
      </x:c>
      <x:c r="C87" t="str">
        <x:v>San José</x:v>
      </x:c>
      <x:c r="D87" t="str">
        <x:v>Costa Rica</x:v>
      </x:c>
      <x:c r="E87" t="str">
        <x:v>SSD-512-N</x:v>
      </x:c>
      <x:c r="F87" t="str">
        <x:v>SSD</x:v>
      </x:c>
      <x:c r="G87" t="str">
        <x:v>L1 | Noche</x:v>
      </x:c>
      <x:c r="H87" t="str">
        <x:v>Luis Mendoza</x:v>
      </x:c>
      <x:c r="I87" s="46" t="n">
        <x:v>1071</x:v>
      </x:c>
      <x:c r="J87" s="48" t="n">
        <x:v>39.39</x:v>
      </x:c>
      <x:c r="K87" s="48" t="n">
        <x:v>42186.69</x:v>
      </x:c>
      <x:c r="L87" s="46" t="n">
        <x:v>31</x:v>
      </x:c>
      <x:c r="M87" s="52" t="str">
        <x:v>L1</x:v>
      </x:c>
      <x:c r="N87" s="52" t="str">
        <x:v>Noche</x:v>
      </x:c>
      <x:c r="O87" s="53" t="n">
        <x:f>L87/I87</x:f>
        <x:v>0.028944911297852476</x:v>
      </x:c>
      <x:c r="P87" s="52" t="str">
        <x:f>IF(O87&lt;=2%,"Aceptable","Revisar")</x:f>
        <x:v>Revisar</x:v>
      </x:c>
    </x:row>
    <x:row r="88">
      <x:c r="A88" t="str">
        <x:v>LT-2020-085</x:v>
      </x:c>
      <x:c r="B88" s="44" t="n">
        <x:v>44009</x:v>
      </x:c>
      <x:c r="C88" t="str">
        <x:v>Monterrey</x:v>
      </x:c>
      <x:c r="D88" t="str">
        <x:v>México</x:v>
      </x:c>
      <x:c r="E88" t="str">
        <x:v>HDD-1TB-A</x:v>
      </x:c>
      <x:c r="F88" t="str">
        <x:v>HDD</x:v>
      </x:c>
      <x:c r="G88" t="str">
        <x:v>L2 | Tarde</x:v>
      </x:c>
      <x:c r="H88" t="str">
        <x:v>Luis Mendoza</x:v>
      </x:c>
      <x:c r="I88" s="46" t="n">
        <x:v>1208</x:v>
      </x:c>
      <x:c r="J88" s="48" t="n">
        <x:v>33.08</x:v>
      </x:c>
      <x:c r="K88" s="48" t="n">
        <x:v>39960.64</x:v>
      </x:c>
      <x:c r="L88" s="46" t="n">
        <x:v>43</x:v>
      </x:c>
      <x:c r="M88" s="52" t="str">
        <x:v>L2</x:v>
      </x:c>
      <x:c r="N88" s="52" t="str">
        <x:v>Tarde</x:v>
      </x:c>
      <x:c r="O88" s="53" t="n">
        <x:f>L88/I88</x:f>
        <x:v>0.03559602649006623</x:v>
      </x:c>
      <x:c r="P88" s="52" t="str">
        <x:f>IF(O88&lt;=2%,"Aceptable","Revisar")</x:f>
        <x:v>Revisar</x:v>
      </x:c>
    </x:row>
    <x:row r="89">
      <x:c r="A89" t="str">
        <x:v>LT-2020-086</x:v>
      </x:c>
      <x:c r="B89" s="44" t="n">
        <x:v>44049</x:v>
      </x:c>
      <x:c r="C89" t="str">
        <x:v>Guadalajara</x:v>
      </x:c>
      <x:c r="D89" t="str">
        <x:v>México</x:v>
      </x:c>
      <x:c r="E89" t="str">
        <x:v>SSD-1TB-N</x:v>
      </x:c>
      <x:c r="F89" t="str">
        <x:v>SSD</x:v>
      </x:c>
      <x:c r="G89" t="str">
        <x:v>L3 | Mañana</x:v>
      </x:c>
      <x:c r="H89" t="str">
        <x:v>Ana Torres</x:v>
      </x:c>
      <x:c r="I89" s="46" t="n">
        <x:v>1345</x:v>
      </x:c>
      <x:c r="J89" s="48" t="n">
        <x:v>59.52</x:v>
      </x:c>
      <x:c r="K89" s="48" t="n">
        <x:v>80054.4</x:v>
      </x:c>
      <x:c r="L89" s="46" t="n">
        <x:v>16</x:v>
      </x:c>
      <x:c r="M89" s="52" t="str">
        <x:v>L3</x:v>
      </x:c>
      <x:c r="N89" s="52" t="str">
        <x:v>Mañana</x:v>
      </x:c>
      <x:c r="O89" s="53" t="n">
        <x:f>L89/I89</x:f>
        <x:v>0.011895910780669145</x:v>
      </x:c>
      <x:c r="P89" s="52" t="str">
        <x:f>IF(O89&lt;=2%,"Aceptable","Revisar")</x:f>
        <x:v>Aceptable</x:v>
      </x:c>
    </x:row>
    <x:row r="90">
      <x:c r="A90" t="str">
        <x:v>LT-2020-087</x:v>
      </x:c>
      <x:c r="B90" s="44" t="n">
        <x:v>44090</x:v>
      </x:c>
      <x:c r="C90" t="str">
        <x:v>Bogotá</x:v>
      </x:c>
      <x:c r="D90" t="str">
        <x:v>Colombia</x:v>
      </x:c>
      <x:c r="E90" t="str">
        <x:v>HDD-1TB-A</x:v>
      </x:c>
      <x:c r="F90" t="str">
        <x:v>HDD</x:v>
      </x:c>
      <x:c r="G90" t="str">
        <x:v>L4 | Noche</x:v>
      </x:c>
      <x:c r="H90" t="str">
        <x:v>Sofía Herrera</x:v>
      </x:c>
      <x:c r="I90" s="46" t="n">
        <x:v>1482</x:v>
      </x:c>
      <x:c r="J90" s="48" t="n">
        <x:v>31.5</x:v>
      </x:c>
      <x:c r="K90" s="48" t="n">
        <x:v>46683</x:v>
      </x:c>
      <x:c r="L90" s="46" t="n">
        <x:v>28</x:v>
      </x:c>
      <x:c r="M90" s="52" t="str">
        <x:v>L4</x:v>
      </x:c>
      <x:c r="N90" s="52" t="str">
        <x:v>Noche</x:v>
      </x:c>
      <x:c r="O90" s="53" t="n">
        <x:f>L90/I90</x:f>
        <x:v>0.018893387314439947</x:v>
      </x:c>
      <x:c r="P90" s="52" t="str">
        <x:f>IF(O90&lt;=2%,"Aceptable","Revisar")</x:f>
        <x:v>Aceptable</x:v>
      </x:c>
    </x:row>
    <x:row r="91">
      <x:c r="A91" t="str">
        <x:v>LT-2020-088</x:v>
      </x:c>
      <x:c r="B91" s="44" t="n">
        <x:v>44131</x:v>
      </x:c>
      <x:c r="C91" t="str">
        <x:v>Lima</x:v>
      </x:c>
      <x:c r="D91" t="str">
        <x:v>Perú</x:v>
      </x:c>
      <x:c r="E91" t="str">
        <x:v>SSD-1TB-N</x:v>
      </x:c>
      <x:c r="F91" t="str">
        <x:v>SSD</x:v>
      </x:c>
      <x:c r="G91" t="str">
        <x:v>L1 | Tarde</x:v>
      </x:c>
      <x:c r="H91" t="str">
        <x:v>Paula Ferreira</x:v>
      </x:c>
      <x:c r="I91" s="46" t="n">
        <x:v>1619</x:v>
      </x:c>
      <x:c r="J91" s="48" t="n">
        <x:v>64.48</x:v>
      </x:c>
      <x:c r="K91" s="48" t="n">
        <x:v>104393.12</x:v>
      </x:c>
      <x:c r="L91" s="46" t="n">
        <x:v>42</x:v>
      </x:c>
      <x:c r="M91" s="52" t="str">
        <x:v>L1</x:v>
      </x:c>
      <x:c r="N91" s="52" t="str">
        <x:v>Tarde</x:v>
      </x:c>
      <x:c r="O91" s="53" t="n">
        <x:f>L91/I91</x:f>
        <x:v>0.025941939468807906</x:v>
      </x:c>
      <x:c r="P91" s="52" t="str">
        <x:f>IF(O91&lt;=2%,"Aceptable","Revisar")</x:f>
        <x:v>Revisar</x:v>
      </x:c>
    </x:row>
    <x:row r="92">
      <x:c r="A92" t="str">
        <x:v>LT-2020-089</x:v>
      </x:c>
      <x:c r="B92" s="44" t="n">
        <x:v>44171</x:v>
      </x:c>
      <x:c r="C92" t="str">
        <x:v>São Paulo</x:v>
      </x:c>
      <x:c r="D92" t="str">
        <x:v>Brasil</x:v>
      </x:c>
      <x:c r="E92" t="str">
        <x:v>HDD-1TB-A</x:v>
      </x:c>
      <x:c r="F92" t="str">
        <x:v>HDD</x:v>
      </x:c>
      <x:c r="G92" t="str">
        <x:v>L2 | Mañana</x:v>
      </x:c>
      <x:c r="H92" t="str">
        <x:v>Paula Ferreira</x:v>
      </x:c>
      <x:c r="I92" s="46" t="n">
        <x:v>1756</x:v>
      </x:c>
      <x:c r="J92" s="48" t="n">
        <x:f>K92/I92</x:f>
        <x:v>29.919999999999998</x:v>
      </x:c>
      <x:c r="K92" s="48" t="n">
        <x:v>52539.52</x:v>
      </x:c>
      <x:c r="L92" s="46" t="n">
        <x:v>58</x:v>
      </x:c>
      <x:c r="M92" s="52" t="str">
        <x:v>L2</x:v>
      </x:c>
      <x:c r="N92" s="52" t="str">
        <x:v>Mañana</x:v>
      </x:c>
      <x:c r="O92" s="53" t="n">
        <x:f>L92/I92</x:f>
        <x:v>0.03302961275626424</x:v>
      </x:c>
      <x:c r="P92" s="52" t="str">
        <x:f>IF(O92&lt;=2%,"Aceptable","Revisar")</x:f>
        <x:v>Revisar</x:v>
      </x:c>
    </x:row>
    <x:row r="93">
      <x:c r="A93" t="str">
        <x:v>LT-2020-090</x:v>
      </x:c>
      <x:c r="B93" s="44" t="n">
        <x:v>43852</x:v>
      </x:c>
      <x:c r="C93" t="str">
        <x:v>San José</x:v>
      </x:c>
      <x:c r="D93" t="str">
        <x:v>Costa Rica</x:v>
      </x:c>
      <x:c r="E93" t="str">
        <x:v>SSD-1TB-N</x:v>
      </x:c>
      <x:c r="F93" t="str">
        <x:v>SSD</x:v>
      </x:c>
      <x:c r="G93" t="str">
        <x:v>L3 | Noche</x:v>
      </x:c>
      <x:c r="H93" t="str">
        <x:v>Jorge Castillo</x:v>
      </x:c>
      <x:c r="I93" s="46" t="n">
        <x:v>793</x:v>
      </x:c>
      <x:c r="J93" s="48" t="n">
        <x:v>61.38</x:v>
      </x:c>
      <x:c r="K93" s="48" t="n">
        <x:v>48674.34</x:v>
      </x:c>
      <x:c r="L93" s="46" t="n">
        <x:v>7</x:v>
      </x:c>
      <x:c r="M93" s="52" t="str">
        <x:v>L3</x:v>
      </x:c>
      <x:c r="N93" s="52" t="str">
        <x:v>Noche</x:v>
      </x:c>
      <x:c r="O93" s="53" t="n">
        <x:f>L93/I93</x:f>
        <x:v>0.008827238335435058</x:v>
      </x:c>
      <x:c r="P93" s="52" t="str">
        <x:f>IF(O93&lt;=2%,"Aceptable","Revisar")</x:f>
        <x:v>Aceptable</x:v>
      </x:c>
    </x:row>
    <x:row r="94">
      <x:c r="A94" t="str">
        <x:v>LT-2020-091</x:v>
      </x:c>
      <x:c r="B94" s="44" t="n">
        <x:v>43893</x:v>
      </x:c>
      <x:c r="C94" t="str">
        <x:v>Monterrey</x:v>
      </x:c>
      <x:c r="D94" t="str">
        <x:v>México</x:v>
      </x:c>
      <x:c r="E94" t="str">
        <x:v>HDD-1TB-A</x:v>
      </x:c>
      <x:c r="F94" t="str">
        <x:v>HDD</x:v>
      </x:c>
      <x:c r="G94" t="str">
        <x:v>L4 | Tarde</x:v>
      </x:c>
      <x:c r="H94" t="str">
        <x:v>Mariana Gómez</x:v>
      </x:c>
      <x:c r="I94" s="46" t="n">
        <x:v>930</x:v>
      </x:c>
      <x:c r="J94" s="48" t="n">
        <x:v>32.45</x:v>
      </x:c>
      <x:c r="K94" s="48" t="n">
        <x:v>30178.5</x:v>
      </x:c>
      <x:c r="L94" s="46" t="n">
        <x:v>15</x:v>
      </x:c>
      <x:c r="M94" s="52" t="str">
        <x:v>L4</x:v>
      </x:c>
      <x:c r="N94" s="52" t="str">
        <x:v>Tarde</x:v>
      </x:c>
      <x:c r="O94" s="53" t="n">
        <x:f>L94/I94</x:f>
        <x:v>0.016129032258064516</x:v>
      </x:c>
      <x:c r="P94" s="52" t="str">
        <x:f>IF(O94&lt;=2%,"Aceptable","Revisar")</x:f>
        <x:v>Aceptable</x:v>
      </x:c>
    </x:row>
    <x:row r="95">
      <x:c r="A95" t="str">
        <x:v>LT-2020-092</x:v>
      </x:c>
      <x:c r="B95" s="44" t="n">
        <x:v>43933</x:v>
      </x:c>
      <x:c r="C95" t="str">
        <x:v>Guadalajara</x:v>
      </x:c>
      <x:c r="D95" t="str">
        <x:v>México</x:v>
      </x:c>
      <x:c r="E95" t="str">
        <x:v>RAM-8-V</x:v>
      </x:c>
      <x:c r="F95" t="str">
        <x:v>RAM</x:v>
      </x:c>
      <x:c r="G95" t="str">
        <x:v>L1 | Mañana</x:v>
      </x:c>
      <x:c r="H95" t="str">
        <x:v>Diego Salazar</x:v>
      </x:c>
      <x:c r="I95" s="46" t="n">
        <x:v>1067</x:v>
      </x:c>
      <x:c r="J95" s="48" t="n">
        <x:v>17.39</x:v>
      </x:c>
      <x:c r="K95" s="48" t="n">
        <x:v>18555.13</x:v>
      </x:c>
      <x:c r="L95" s="46" t="n">
        <x:v>25</x:v>
      </x:c>
      <x:c r="M95" s="52" t="str">
        <x:v>L1</x:v>
      </x:c>
      <x:c r="N95" s="52" t="str">
        <x:v>Mañana</x:v>
      </x:c>
      <x:c r="O95" s="53" t="n">
        <x:f>L95/I95</x:f>
        <x:v>0.023430178069353328</x:v>
      </x:c>
      <x:c r="P95" s="52" t="str">
        <x:f>IF(O95&lt;=2%,"Aceptable","Revisar")</x:f>
        <x:v>Revisar</x:v>
      </x:c>
    </x:row>
    <x:row r="96">
      <x:c r="A96" t="str">
        <x:v>LT-2020-093</x:v>
      </x:c>
      <x:c r="B96" s="44" t="n">
        <x:v>43974</x:v>
      </x:c>
      <x:c r="C96" t="str">
        <x:v>Bogotá</x:v>
      </x:c>
      <x:c r="D96" t="str">
        <x:v>Colombia</x:v>
      </x:c>
      <x:c r="E96" t="str">
        <x:v>HDD-2TB-B</x:v>
      </x:c>
      <x:c r="F96" t="str">
        <x:v>HDD</x:v>
      </x:c>
      <x:c r="G96" t="str">
        <x:v>L2 | Noche</x:v>
      </x:c>
      <x:c r="H96" t="str">
        <x:v>Diego Salazar</x:v>
      </x:c>
      <x:c r="I96" s="46" t="n">
        <x:v>1204</x:v>
      </x:c>
      <x:c r="J96" s="48" t="n">
        <x:v>44.1</x:v>
      </x:c>
      <x:c r="K96" s="48" t="n">
        <x:f>I96*J96</x:f>
        <x:v>53096.4</x:v>
      </x:c>
      <x:c r="L96" s="46" t="n">
        <x:v>36</x:v>
      </x:c>
      <x:c r="M96" s="52" t="str">
        <x:v>L2</x:v>
      </x:c>
      <x:c r="N96" s="52" t="str">
        <x:v>Noche</x:v>
      </x:c>
      <x:c r="O96" s="53" t="n">
        <x:f>L96/I96</x:f>
        <x:v>0.029900332225913623</x:v>
      </x:c>
      <x:c r="P96" s="52" t="str">
        <x:f>IF(O96&lt;=2%,"Aceptable","Revisar")</x:f>
        <x:v>Revisar</x:v>
      </x:c>
    </x:row>
    <x:row r="97">
      <x:c r="A97" t="str">
        <x:v>LT-2020-094</x:v>
      </x:c>
      <x:c r="B97" s="44" t="n">
        <x:v>44015</x:v>
      </x:c>
      <x:c r="C97" t="str">
        <x:v>Lima</x:v>
      </x:c>
      <x:c r="D97" t="str">
        <x:v>Perú</x:v>
      </x:c>
      <x:c r="E97" t="str">
        <x:v>RAM-8-V</x:v>
      </x:c>
      <x:c r="F97" t="str">
        <x:v>RAM</x:v>
      </x:c>
      <x:c r="G97" t="str">
        <x:v>L3 | Tarde</x:v>
      </x:c>
      <x:c r="H97" t="str">
        <x:v>Carla Ribeiro</x:v>
      </x:c>
      <x:c r="I97" s="46" t="n">
        <x:v>1341</x:v>
      </x:c>
      <x:c r="J97" s="48" t="n">
        <x:v>18.87</x:v>
      </x:c>
      <x:c r="K97" s="48" t="n">
        <x:v>25304.67</x:v>
      </x:c>
      <x:c r="L97" s="46" t="n">
        <x:v>8</x:v>
      </x:c>
      <x:c r="M97" s="52" t="str">
        <x:v>L3</x:v>
      </x:c>
      <x:c r="N97" s="52" t="str">
        <x:v>Tarde</x:v>
      </x:c>
      <x:c r="O97" s="53" t="n">
        <x:f>L97/I97</x:f>
        <x:v>0.005965697240865026</x:v>
      </x:c>
      <x:c r="P97" s="52" t="str">
        <x:f>IF(O97&lt;=2%,"Aceptable","Revisar")</x:f>
        <x:v>Aceptable</x:v>
      </x:c>
    </x:row>
    <x:row r="98">
      <x:c r="A98" t="str">
        <x:v>LT-2020-095</x:v>
      </x:c>
      <x:c r="B98" s="44" t="n">
        <x:v>44055</x:v>
      </x:c>
      <x:c r="C98" t="str">
        <x:v>São Paulo</x:v>
      </x:c>
      <x:c r="D98" t="str">
        <x:v>Brasil</x:v>
      </x:c>
      <x:c r="E98" t="str">
        <x:v>HDD-2TB-B</x:v>
      </x:c>
      <x:c r="F98" t="str">
        <x:v>HDD</x:v>
      </x:c>
      <x:c r="G98" t="str">
        <x:v>L4 | Mañana</x:v>
      </x:c>
      <x:c r="H98" t="str">
        <x:v>Luis Mendoza</x:v>
      </x:c>
      <x:c r="I98" s="46" t="n">
        <x:v>1478</x:v>
      </x:c>
      <x:c r="J98" s="48" t="n">
        <x:v>47.7</x:v>
      </x:c>
      <x:c r="K98" s="48" t="n">
        <x:v>70500.6</x:v>
      </x:c>
      <x:c r="L98" s="46" t="n">
        <x:v>19</x:v>
      </x:c>
      <x:c r="M98" s="52" t="str">
        <x:v>L4</x:v>
      </x:c>
      <x:c r="N98" s="52" t="str">
        <x:v>Mañana</x:v>
      </x:c>
      <x:c r="O98" s="53" t="n">
        <x:f>L98/I98</x:f>
        <x:v>0.012855209742895805</x:v>
      </x:c>
      <x:c r="P98" s="52" t="str">
        <x:f>IF(O98&lt;=2%,"Aceptable","Revisar")</x:f>
        <x:v>Aceptable</x:v>
      </x:c>
    </x:row>
  </x:sheetData>
  <x:mergeCells>
    <x:mergeCell ref="A1:P1"/>
  </x:mergeCells>
  <x:conditionalFormatting sqref="P4:P98">
    <x:cfRule type="expression" dxfId="0" priority="1">
      <x:formula>P4="Revisar"</x:formula>
    </x:cfRule>
    <x:cfRule type="expression" dxfId="1" priority="2">
      <x:formula>P4="Aceptable"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8" hidden="0" customWidth="1"/>
    <x:col min="3" max="3" width="24" hidden="0" customWidth="1"/>
    <x:col min="4" max="4" width="22" hidden="0" customWidth="1"/>
  </x:cols>
  <x:sheetData>
    <x:row r="1" ht="30" customHeight="1">
      <x:c r="A1" s="6" t="str">
        <x:v>Análisis de producción — Métricas clave</x:v>
      </x:c>
      <x:c r="B1" s="6"/>
      <x:c r="C1" s="6"/>
      <x:c r="D1" s="6"/>
    </x:row>
    <x:row r="3">
      <x:c r="A3" s="27" t="str">
        <x:v>#</x:v>
      </x:c>
      <x:c r="B3" s="28" t="str">
        <x:v>Pregunta</x:v>
      </x:c>
      <x:c r="C3" s="28" t="str">
        <x:v>Función sugerida</x:v>
      </x:c>
      <x:c r="D3" s="29" t="str">
        <x:v>Resultado</x:v>
      </x:c>
    </x:row>
    <x:row r="4">
      <x:c r="A4" s="56" t="n">
        <x:v>1</x:v>
      </x:c>
      <x:c r="B4" s="56" t="str">
        <x:v>¿Cuántos lotes únicos quedan después de la limpieza?</x:v>
      </x:c>
      <x:c r="C4" s="56" t="str">
        <x:v>COUNTA / CONTARA</x:v>
      </x:c>
      <x:c r="D4" s="58" t="n">
        <x:f>COUNTA(Datos_Limpios!A4:A98)</x:f>
        <x:v>95</x:v>
      </x:c>
    </x:row>
    <x:row r="5">
      <x:c r="A5" s="56" t="n">
        <x:v>2</x:v>
      </x:c>
      <x:c r="B5" s="56" t="str">
        <x:v>¿Cuántas unidades se produjeron en total?</x:v>
      </x:c>
      <x:c r="C5" s="56" t="str">
        <x:v>SUM / SUMA</x:v>
      </x:c>
      <x:c r="D5" s="58" t="n">
        <x:f>SUM(Datos_Limpios!I4:I98)</x:f>
        <x:v>121605</x:v>
      </x:c>
    </x:row>
    <x:row r="6">
      <x:c r="A6" s="56" t="n">
        <x:v>3</x:v>
      </x:c>
      <x:c r="B6" s="56" t="str">
        <x:v>¿Cuál fue el costo total de producción?</x:v>
      </x:c>
      <x:c r="C6" s="56" t="str">
        <x:v>SUM / SUMA</x:v>
      </x:c>
      <x:c r="D6" s="66" t="n">
        <x:f>SUM(Datos_Limpios!K4:K98)</x:f>
        <x:v>4517147.3100000005</x:v>
      </x:c>
    </x:row>
    <x:row r="7">
      <x:c r="A7" s="56" t="n">
        <x:v>4</x:v>
      </x:c>
      <x:c r="B7" s="56" t="str">
        <x:v>¿Cuál fue el costo unitario promedio por lote?</x:v>
      </x:c>
      <x:c r="C7" s="56" t="str">
        <x:v>AVERAGE / PROMEDIO</x:v>
      </x:c>
      <x:c r="D7" s="66" t="n">
        <x:f>AVERAGE(Datos_Limpios!J4:J98)</x:f>
        <x:v>37.08536842105263</x:v>
      </x:c>
    </x:row>
    <x:row r="8">
      <x:c r="A8" s="56" t="n">
        <x:v>5</x:v>
      </x:c>
      <x:c r="B8" s="56" t="str">
        <x:v>¿Cuál fue la mayor cantidad de unidades producidas en un solo lote?</x:v>
      </x:c>
      <x:c r="C8" s="56" t="str">
        <x:v>MAX</x:v>
      </x:c>
      <x:c r="D8" s="58" t="n">
        <x:f>MAX(Datos_Limpios!I4:I98)</x:f>
        <x:v>1796</x:v>
      </x:c>
    </x:row>
    <x:row r="9">
      <x:c r="A9" s="56" t="n">
        <x:v>6</x:v>
      </x:c>
      <x:c r="B9" s="56" t="str">
        <x:v>¿Cuántos lotes requieren revisión de calidad?</x:v>
      </x:c>
      <x:c r="C9" s="56" t="str">
        <x:v>COUNTIF / CONTAR.SI</x:v>
      </x:c>
      <x:c r="D9" s="58" t="n">
        <x:f>COUNTIF(Datos_Limpios!P4:P98,"Revisar")</x:f>
        <x:v>49</x:v>
      </x:c>
    </x:row>
    <x:row r="10">
      <x:c r="A10" s="56" t="n">
        <x:v>7</x:v>
      </x:c>
      <x:c r="B10" s="56" t="str">
        <x:v>¿Cuántos lotes pertenecen a la categoría SSD?</x:v>
      </x:c>
      <x:c r="C10" s="56" t="str">
        <x:v>COUNTIF / CONTAR.SI</x:v>
      </x:c>
      <x:c r="D10" s="58" t="n">
        <x:f>COUNTIF(Datos_Limpios!F4:F98,"SSD")</x:f>
        <x:v>31</x:v>
      </x:c>
    </x:row>
    <x:row r="12">
      <x:c r="A12" s="62" t="str">
        <x:v>Pista: realiza los cálculos únicamente después de terminar la limpieza y eliminar duplicados.</x:v>
      </x:c>
      <x:c r="B12" s="62"/>
      <x:c r="C12" s="62"/>
      <x:c r="D12" s="62"/>
    </x:row>
  </x:sheetData>
  <x:mergeCells>
    <x:mergeCell ref="A1:D1"/>
    <x:mergeCell ref="A12:D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6" t="str">
        <x:v>Visualizaciones — Resumen operativo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>
      <x:c r="A3" s="70" t="str">
        <x:v>Gráfica 1: Lotes por categoría</x:v>
      </x:c>
      <x:c r="B3" s="70"/>
    </x:row>
    <x:row r="4">
      <x:c r="A4" s="56" t="str">
        <x:v>Pregunta: ¿Cómo se distribuyen los lotes entre HDD, SSD y RAM?</x:v>
      </x:c>
      <x:c r="B4" s="56"/>
    </x:row>
    <x:row r="5">
      <x:c r="A5" s="56" t="str">
        <x:v>Tipo sugerido: columnas | Función: COUNTIF / CONTAR.SI</x:v>
      </x:c>
      <x:c r="B5" s="56"/>
    </x:row>
    <x:row r="6">
      <x:c r="A6" s="56"/>
      <x:c r="B6" s="56"/>
    </x:row>
    <x:row r="7">
      <x:c r="A7" s="27" t="str">
        <x:v>Categoría</x:v>
      </x:c>
      <x:c r="B7" s="29" t="str">
        <x:v>Lotes</x:v>
      </x:c>
    </x:row>
    <x:row r="8">
      <x:c r="A8" s="56" t="str">
        <x:v>HDD</x:v>
      </x:c>
      <x:c r="B8" s="56" t="n">
        <x:f>COUNTIF(Datos_Limpios!$F$4:$F$98,A8)</x:f>
        <x:v>34</x:v>
      </x:c>
    </x:row>
    <x:row r="9">
      <x:c r="A9" s="56" t="str">
        <x:v>SSD</x:v>
      </x:c>
      <x:c r="B9" s="56" t="n">
        <x:f>COUNTIF(Datos_Limpios!$F$4:$F$98,A9)</x:f>
        <x:v>31</x:v>
      </x:c>
    </x:row>
    <x:row r="10">
      <x:c r="A10" s="56" t="str">
        <x:v>RAM</x:v>
      </x:c>
      <x:c r="B10" s="56" t="n">
        <x:f>COUNTIF(Datos_Limpios!$F$4:$F$98,A10)</x:f>
        <x:v>30</x:v>
      </x:c>
    </x:row>
    <x:row r="11">
      <x:c r="A11" s="56"/>
      <x:c r="B11" s="56"/>
    </x:row>
    <x:row r="12">
      <x:c r="A12" s="56"/>
      <x:c r="B12" s="56"/>
    </x:row>
    <x:row r="13">
      <x:c r="A13" s="70" t="str">
        <x:v>Gráfica 2: Estado de calidad de los lotes</x:v>
      </x:c>
      <x:c r="B13" s="70"/>
    </x:row>
    <x:row r="14">
      <x:c r="A14" s="56" t="str">
        <x:v>Pregunta: ¿Qué proporción de lotes es aceptable y cuál requiere revisión?</x:v>
      </x:c>
      <x:c r="B14" s="56"/>
    </x:row>
    <x:row r="15">
      <x:c r="A15" s="56" t="str">
        <x:v>Tipo sugerido: circular | Función: COUNTIF / CONTAR.SI</x:v>
      </x:c>
      <x:c r="B15" s="56"/>
    </x:row>
    <x:row r="16">
      <x:c r="A16" s="56"/>
      <x:c r="B16" s="56"/>
    </x:row>
    <x:row r="17">
      <x:c r="A17" s="27" t="str">
        <x:v>Nivel</x:v>
      </x:c>
      <x:c r="B17" s="29" t="str">
        <x:v>Lotes</x:v>
      </x:c>
    </x:row>
    <x:row r="18">
      <x:c r="A18" s="56" t="str">
        <x:v>Aceptable</x:v>
      </x:c>
      <x:c r="B18" s="56" t="n">
        <x:f>COUNTIF(Datos_Limpios!$P$4:$P$98,A18)</x:f>
        <x:v>46</x:v>
      </x:c>
    </x:row>
    <x:row r="19">
      <x:c r="A19" s="56" t="str">
        <x:v>Revisar</x:v>
      </x:c>
      <x:c r="B19" s="56" t="n">
        <x:f>COUNTIF(Datos_Limpios!$P$4:$P$98,A19)</x:f>
        <x:v>49</x:v>
      </x:c>
    </x:row>
    <x:row r="20">
      <x:c r="A20" s="56"/>
      <x:c r="B20" s="56"/>
    </x:row>
    <x:row r="21">
      <x:c r="A21" s="56"/>
      <x:c r="B21" s="56"/>
    </x:row>
    <x:row r="22">
      <x:c r="A22" s="70" t="str">
        <x:v>Gráfica 3: Unidades producidas por planta</x:v>
      </x:c>
      <x:c r="B22" s="70"/>
    </x:row>
    <x:row r="23">
      <x:c r="A23" s="56" t="str">
        <x:v>Pregunta: ¿Qué plantas concentraron mayor volumen de unidades producidas?</x:v>
      </x:c>
      <x:c r="B23" s="56"/>
    </x:row>
    <x:row r="24">
      <x:c r="A24" s="56" t="str">
        <x:v>Tipo sugerido: barras | Función: SUMIF / SUMAR.SI</x:v>
      </x:c>
      <x:c r="B24" s="56"/>
    </x:row>
    <x:row r="25">
      <x:c r="A25" s="56"/>
      <x:c r="B25" s="56"/>
    </x:row>
    <x:row r="26">
      <x:c r="A26" s="27" t="str">
        <x:v>Planta</x:v>
      </x:c>
      <x:c r="B26" s="29" t="str">
        <x:v>Unidades</x:v>
      </x:c>
    </x:row>
    <x:row r="27">
      <x:c r="A27" s="56" t="str">
        <x:v>Monterrey</x:v>
      </x:c>
      <x:c r="B27" s="56" t="n">
        <x:f>SUMIF(Datos_Limpios!$C$4:$C$98,A27,Datos_Limpios!$I$4:$I$98)</x:f>
        <x:v>20740</x:v>
      </x:c>
    </x:row>
    <x:row r="28">
      <x:c r="A28" s="56" t="str">
        <x:v>Guadalajara</x:v>
      </x:c>
      <x:c r="B28" s="56" t="n">
        <x:f>SUMIF(Datos_Limpios!$C$4:$C$98,A28,Datos_Limpios!$I$4:$I$98)</x:f>
        <x:v>19632</x:v>
      </x:c>
    </x:row>
    <x:row r="29">
      <x:c r="A29" s="56" t="str">
        <x:v>Bogotá</x:v>
      </x:c>
      <x:c r="B29" s="56" t="n">
        <x:f>SUMIF(Datos_Limpios!$C$4:$C$98,A29,Datos_Limpios!$I$4:$I$98)</x:f>
        <x:v>21824</x:v>
      </x:c>
    </x:row>
    <x:row r="30">
      <x:c r="A30" s="56" t="str">
        <x:v>Lima</x:v>
      </x:c>
      <x:c r="B30" s="56" t="n">
        <x:f>SUMIF(Datos_Limpios!$C$4:$C$98,A30,Datos_Limpios!$I$4:$I$98)</x:f>
        <x:v>19616</x:v>
      </x:c>
    </x:row>
    <x:row r="31">
      <x:c r="A31" s="56" t="str">
        <x:v>São Paulo</x:v>
      </x:c>
      <x:c r="B31" s="56" t="n">
        <x:f>SUMIF(Datos_Limpios!$C$4:$C$98,A31,Datos_Limpios!$I$4:$I$98)</x:f>
        <x:v>21808</x:v>
      </x:c>
    </x:row>
    <x:row r="32">
      <x:c r="A32" s="56" t="str">
        <x:v>San José</x:v>
      </x:c>
      <x:c r="B32" s="56" t="n">
        <x:f>SUMIF(Datos_Limpios!$C$4:$C$98,A32,Datos_Limpios!$I$4:$I$98)</x:f>
        <x:v>17985</x:v>
      </x:c>
    </x:row>
  </x:sheetData>
  <x:mergeCells>
    <x:mergeCell ref="A1:L1"/>
    <x:mergeCell ref="A3:B3"/>
    <x:mergeCell ref="A4:B4"/>
    <x:mergeCell ref="A5:B5"/>
    <x:mergeCell ref="A13:B13"/>
    <x:mergeCell ref="A14:B14"/>
    <x:mergeCell ref="A15:B15"/>
    <x:mergeCell ref="A22:B22"/>
    <x:mergeCell ref="A23:B23"/>
    <x:mergeCell ref="A24:B24"/>
  </x:mergeCells>
  <x:pageMargins left="0.7" right="0.7" top="0.75" bottom="0.75" header="0.3" footer="0.3"/>
  <x:drawing xmlns:r="http://schemas.openxmlformats.org/officeDocument/2006/relationships" r:id="R5efb6dab4c7a4b9d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</x:cols>
  <x:sheetData>
    <x:row r="1" ht="30" customHeight="1">
      <x:c r="A1" s="6" t="str">
        <x:v>Informe ejecutivo — Solución modelo</x:v>
      </x:c>
      <x:c r="B1" s="6"/>
    </x:row>
    <x:row r="3">
      <x:c r="A3" s="70" t="str">
        <x:v>Calidad de los datos</x:v>
      </x:c>
      <x:c r="B3" s="70"/>
    </x:row>
    <x:row r="4">
      <x:c r="A4" s="56" t="str">
        <x:v>Registros originales:</x:v>
      </x:c>
      <x:c r="B4" s="58" t="n">
        <x:v>100</x:v>
      </x:c>
    </x:row>
    <x:row r="5">
      <x:c r="A5" s="56" t="str">
        <x:v>Duplicados encontrados:</x:v>
      </x:c>
      <x:c r="B5" s="58" t="n">
        <x:v>5</x:v>
      </x:c>
    </x:row>
    <x:row r="6">
      <x:c r="A6" s="56" t="str">
        <x:v>Duplicados eliminados:</x:v>
      </x:c>
      <x:c r="B6" s="58" t="n">
        <x:v>5</x:v>
      </x:c>
    </x:row>
    <x:row r="7">
      <x:c r="A7" s="56" t="str">
        <x:v>Valores faltantes encontrados:</x:v>
      </x:c>
      <x:c r="B7" s="58" t="n">
        <x:v>11</x:v>
      </x:c>
    </x:row>
    <x:row r="8">
      <x:c r="A8" s="56" t="str">
        <x:v>Valores recuperados exactamente:</x:v>
      </x:c>
      <x:c r="B8" s="58" t="n">
        <x:v>8</x:v>
      </x:c>
    </x:row>
    <x:row r="9">
      <x:c r="A9" s="56" t="str">
        <x:v>Valores tratados con mediana:</x:v>
      </x:c>
      <x:c r="B9" s="58" t="n">
        <x:v>3</x:v>
      </x:c>
    </x:row>
    <x:row r="10">
      <x:c r="A10" s="56" t="str">
        <x:v>Principales problemas de formato:</x:v>
      </x:c>
      <x:c r="B10" s="58" t="str">
        <x:v>Fechas inconsistentes; variantes de planta, país y categoría; códigos y nombres con mayúsculas/espacios irregulares; números almacenados como texto.</x:v>
      </x:c>
    </x:row>
    <x:row r="11">
      <x:c r="A11" s="56"/>
      <x:c r="B11" s="58"/>
    </x:row>
    <x:row r="12">
      <x:c r="A12" s="70" t="str">
        <x:v>Principales métricas</x:v>
      </x:c>
      <x:c r="B12" s="74"/>
    </x:row>
    <x:row r="13">
      <x:c r="A13" s="56" t="str">
        <x:v>Lotes únicos:</x:v>
      </x:c>
      <x:c r="B13" s="58" t="n">
        <x:v>95</x:v>
      </x:c>
    </x:row>
    <x:row r="14">
      <x:c r="A14" s="56" t="str">
        <x:v>Unidades producidas:</x:v>
      </x:c>
      <x:c r="B14" s="58" t="n">
        <x:v>121605</x:v>
      </x:c>
    </x:row>
    <x:row r="15">
      <x:c r="A15" s="56" t="str">
        <x:v>Costo total:</x:v>
      </x:c>
      <x:c r="B15" s="66" t="n">
        <x:v>4517147.31</x:v>
      </x:c>
    </x:row>
    <x:row r="16">
      <x:c r="A16" s="56" t="str">
        <x:v>Costo unitario promedio:</x:v>
      </x:c>
      <x:c r="B16" s="66" t="n">
        <x:v>37.09</x:v>
      </x:c>
    </x:row>
    <x:row r="17">
      <x:c r="A17" s="56" t="str">
        <x:v>Lotes a revisar:</x:v>
      </x:c>
      <x:c r="B17" s="58" t="n">
        <x:v>49</x:v>
      </x:c>
    </x:row>
    <x:row r="18">
      <x:c r="A18" s="56"/>
      <x:c r="B18" s="58"/>
    </x:row>
    <x:row r="19">
      <x:c r="A19" s="70" t="str">
        <x:v>Hallazgos</x:v>
      </x:c>
      <x:c r="B19" s="74"/>
    </x:row>
    <x:row r="20">
      <x:c r="A20" s="56" t="str">
        <x:v>Hallazgo 1:</x:v>
      </x:c>
      <x:c r="B20" s="58" t="str">
        <x:v>Después de eliminar duplicados quedaron 95 lotes únicos y se produjeron 121,605 unidades durante 2020.</x:v>
      </x:c>
    </x:row>
    <x:row r="21">
      <x:c r="A21" s="56" t="str">
        <x:v>Hallazgo 2:</x:v>
      </x:c>
      <x:c r="B21" s="58" t="str">
        <x:v>El costo total de producción fue de $4,517,147.31 USD y el costo unitario promedio por lote fue de $37.09 USD.</x:v>
      </x:c>
    </x:row>
    <x:row r="22">
      <x:c r="A22" s="56" t="str">
        <x:v>Hallazgo 3:</x:v>
      </x:c>
      <x:c r="B22" s="58" t="str">
        <x:v>49 de 95 lotes superaron 2% de defectos y deben clasificarse como 'Revisar'.</x:v>
      </x:c>
    </x:row>
    <x:row r="23">
      <x:c r="A23" s="56" t="str">
        <x:v>Hallazgo 4:</x:v>
      </x:c>
      <x:c r="B23" s="58" t="str">
        <x:v>Bogotá registró el mayor volumen acumulado con 21,824 unidades, seguida muy de cerca por São Paulo con 21,808.</x:v>
      </x:c>
    </x:row>
    <x:row r="24">
      <x:c r="A24" s="56" t="str">
        <x:v>Hallazgo 5:</x:v>
      </x:c>
      <x:c r="B24" s="58" t="str">
        <x:v>HDD fue la categoría con más lotes (34), frente a SSD (31) y RAM (30).</x:v>
      </x:c>
    </x:row>
    <x:row r="25">
      <x:c r="A25" s="56"/>
      <x:c r="B25" s="58"/>
    </x:row>
    <x:row r="26">
      <x:c r="A26" s="70" t="str">
        <x:v>Recomendaciones</x:v>
      </x:c>
      <x:c r="B26" s="74"/>
    </x:row>
    <x:row r="27">
      <x:c r="A27" s="56" t="str">
        <x:v>Recomendación 1:</x:v>
      </x:c>
      <x:c r="B27" s="58" t="str">
        <x:v>Priorizar la revisión de los lotes clasificados como 'Revisar' y utilizar línea, turno y supervisor para organizar una revisión operativa posterior.</x:v>
      </x:c>
    </x:row>
    <x:row r="28">
      <x:c r="A28" s="56" t="str">
        <x:v>Recomendación 2:</x:v>
      </x:c>
      <x:c r="B28" s="58" t="str">
        <x:v>Estandarizar la captura con listas de categorías y validaciones de fecha/número para reducir duplicados, variantes de texto y números almacenados como texto.</x:v>
      </x:c>
    </x:row>
  </x:sheetData>
  <x:mergeCells>
    <x:mergeCell ref="A1:B1"/>
    <x:mergeCell ref="A3:B3"/>
    <x:mergeCell ref="A12:B12"/>
    <x:mergeCell ref="A19:B19"/>
    <x:mergeCell ref="A26:B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2" hidden="0" customWidth="1"/>
  </x:cols>
  <x:sheetData>
    <x:row r="1" ht="30" customHeight="1">
      <x:c r="A1" s="6" t="str">
        <x:v>Guía del instructor — Respuestas esperadas</x:v>
      </x:c>
      <x:c r="B1" s="6"/>
    </x:row>
    <x:row r="3">
      <x:c r="A3" s="27" t="str">
        <x:v>Elemento</x:v>
      </x:c>
      <x:c r="B3" s="29" t="str">
        <x:v>Respuesta esperada</x:v>
      </x:c>
    </x:row>
    <x:row r="4">
      <x:c r="A4" s="56" t="str">
        <x:v>Registros originales</x:v>
      </x:c>
      <x:c r="B4" s="56" t="str">
        <x:v>100 filas de datos.</x:v>
      </x:c>
    </x:row>
    <x:row r="5">
      <x:c r="A5" s="56" t="str">
        <x:v>Duplicados introducidos</x:v>
      </x:c>
      <x:c r="B5" s="56" t="str">
        <x:v>5 duplicados completos; al eliminarlos quedan 95 lotes únicos.</x:v>
      </x:c>
    </x:row>
    <x:row r="6">
      <x:c r="A6" s="56" t="str">
        <x:v>Columnas con problemas</x:v>
      </x:c>
      <x:c r="B6" s="56" t="str">
        <x:v>Fecha_Produccion, Planta, Pais, Codigo_Producto, Categoria, Supervisor, Unidades_Producidas, Costo_Unitario_USD, Costo_Total_USD y Unidades_Defectuosas.</x:v>
      </x:c>
    </x:row>
    <x:row r="7">
      <x:c r="A7" s="56" t="str">
        <x:v>Faltantes — Costo_Unitario_USD</x:v>
      </x:c>
      <x:c r="B7" s="56" t="str">
        <x:v>4. Recuperar con Costo_Total_USD / Unidades_Producidas.</x:v>
      </x:c>
    </x:row>
    <x:row r="8">
      <x:c r="A8" s="56" t="str">
        <x:v>Faltantes — Costo_Total_USD</x:v>
      </x:c>
      <x:c r="B8" s="56" t="str">
        <x:v>4. Recuperar con Unidades_Producidas × Costo_Unitario_USD.</x:v>
      </x:c>
    </x:row>
    <x:row r="9">
      <x:c r="A9" s="56" t="str">
        <x:v>Faltantes — Unidades_Defectuosas</x:v>
      </x:c>
      <x:c r="B9" s="56" t="str">
        <x:v>3. Imputar con la mediana de los valores disponibles después de quitar duplicados: 25.</x:v>
      </x:c>
    </x:row>
    <x:row r="10">
      <x:c r="A10" s="56" t="str">
        <x:v>Reemplazos de Planta</x:v>
      </x:c>
      <x:c r="B10" s="56" t="str">
        <x:v>SAN JOSE y SJO → San José; guadalajara y GDL → Guadalajara.</x:v>
      </x:c>
    </x:row>
    <x:row r="11">
      <x:c r="A11" s="56" t="str">
        <x:v>Reemplazos de País</x:v>
      </x:c>
      <x:c r="B11" s="56" t="str">
        <x:v>mexico → México; BRASIL → Brasil.</x:v>
      </x:c>
    </x:row>
    <x:row r="12">
      <x:c r="A12" s="56" t="str">
        <x:v>Reemplazos de Categoria</x:v>
      </x:c>
      <x:c r="B12" s="56" t="str">
        <x:v>hdd/HDD con espacios → HDD; solid state → SSD; Memoria RAM → RAM.</x:v>
      </x:c>
    </x:row>
    <x:row r="13">
      <x:c r="A13" s="56" t="str">
        <x:v>Limpieza de Codigo_Producto</x:v>
      </x:c>
      <x:c r="B13" s="56" t="str">
        <x:v>TRIM/ESPACIOS + UPPER/MAYUSC.</x:v>
      </x:c>
    </x:row>
    <x:row r="14">
      <x:c r="A14" s="56" t="str">
        <x:v>Limpieza de Supervisor</x:v>
      </x:c>
      <x:c r="B14" s="56" t="str">
        <x:v>TRIM/ESPACIOS + PROPER/NOMPROPIO.</x:v>
      </x:c>
    </x:row>
    <x:row r="15">
      <x:c r="A15" s="56" t="str">
        <x:v>Fechas inconsistentes</x:v>
      </x:c>
      <x:c r="B15" s="56" t="str">
        <x:v>6 valores escritos como texto; convertir a fecha real y mostrar dd/mm/aaaa.</x:v>
      </x:c>
    </x:row>
    <x:row r="16">
      <x:c r="A16" s="56" t="str">
        <x:v>Números almacenados como texto</x:v>
      </x:c>
      <x:c r="B16" s="56" t="str">
        <x:v>6 valores distribuidos entre Unidades_Producidas, Costo_Unitario_USD y Costo_Total_USD.</x:v>
      </x:c>
    </x:row>
    <x:row r="17">
      <x:c r="A17" s="56" t="str">
        <x:v>Tasa de defectos</x:v>
      </x:c>
      <x:c r="B17" s="56" t="str">
        <x:v>Unidades_Defectuosas / Unidades_Producidas; porcentaje con dos decimales.</x:v>
      </x:c>
    </x:row>
    <x:row r="18">
      <x:c r="A18" s="56" t="str">
        <x:v>Nivel de calidad</x:v>
      </x:c>
      <x:c r="B18" s="56" t="str">
        <x:v>IF/SI: &lt;=2% = "Aceptable"; &gt;2% = "Revisar".</x:v>
      </x:c>
    </x:row>
    <x:row r="19">
      <x:c r="A19" s="56" t="str">
        <x:v>Métrica: lotes únicos</x:v>
      </x:c>
      <x:c r="B19" s="56" t="str">
        <x:v>95</x:v>
      </x:c>
    </x:row>
    <x:row r="20">
      <x:c r="A20" s="56" t="str">
        <x:v>Métrica: unidades producidas</x:v>
      </x:c>
      <x:c r="B20" s="56" t="str">
        <x:v>121,605</x:v>
      </x:c>
    </x:row>
    <x:row r="21">
      <x:c r="A21" s="56" t="str">
        <x:v>Métrica: costo total</x:v>
      </x:c>
      <x:c r="B21" s="56" t="str">
        <x:v>$4,517,147.31 USD</x:v>
      </x:c>
    </x:row>
    <x:row r="22">
      <x:c r="A22" s="56" t="str">
        <x:v>Métrica: costo unitario promedio</x:v>
      </x:c>
      <x:c r="B22" s="56" t="str">
        <x:v>$37.09 USD</x:v>
      </x:c>
    </x:row>
    <x:row r="23">
      <x:c r="A23" s="56" t="str">
        <x:v>Métrica: máximo de unidades por lote</x:v>
      </x:c>
      <x:c r="B23" s="56" t="str">
        <x:v>1,796</x:v>
      </x:c>
    </x:row>
    <x:row r="24">
      <x:c r="A24" s="56" t="str">
        <x:v>Métrica: lotes a revisar</x:v>
      </x:c>
      <x:c r="B24" s="56" t="str">
        <x:v>49</x:v>
      </x:c>
    </x:row>
    <x:row r="25">
      <x:c r="A25" s="56" t="str">
        <x:v>Métrica: lotes SSD</x:v>
      </x:c>
      <x:c r="B25" s="56" t="str">
        <x:v>31</x:v>
      </x:c>
    </x:row>
    <x:row r="26">
      <x:c r="A26" s="56" t="str">
        <x:v>Visualización — lotes por categoría</x:v>
      </x:c>
      <x:c r="B26" s="56" t="str">
        <x:v>HDD 34; SSD 31; RAM 30.</x:v>
      </x:c>
    </x:row>
    <x:row r="27">
      <x:c r="A27" s="56" t="str">
        <x:v>Visualización — calidad</x:v>
      </x:c>
      <x:c r="B27" s="56" t="str">
        <x:v>Aceptable 46; Revisar 49.</x:v>
      </x:c>
    </x:row>
    <x:row r="28">
      <x:c r="A28" s="56" t="str">
        <x:v>Visualización — unidades por planta</x:v>
      </x:c>
      <x:c r="B28" s="56" t="str">
        <x:v>Monterrey: 20,740; Guadalajara: 19,632; Bogotá: 21,824; Lima: 19,616; São Paulo: 21,808; San José: 17,985.</x:v>
      </x:c>
    </x:row>
    <x:row r="29">
      <x:c r="A29" s="56" t="str">
        <x:v>Conclusiones esperadas</x:v>
      </x:c>
      <x:c r="B29" s="56" t="str">
        <x:v>La producción anual supera 120 mil unidades; cerca de la mitad de los lotes requiere revisión bajo el umbral de 2%; Bogotá y São Paulo concentran los mayores volúmenes; HDD es la categoría con más lotes.</x:v>
      </x:c>
    </x:row>
  </x:sheetData>
  <x:mergeCells>
    <x:mergeCell ref="A1:B1"/>
  </x:mergeCells>
  <x:pageMargins left="0.7" right="0.7" top="0.75" bottom="0.75" header="0.3" footer="0.3"/>
</x:worksheet>
</file>